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ddab.a\Downloads\"/>
    </mc:Choice>
  </mc:AlternateContent>
  <xr:revisionPtr revIDLastSave="0" documentId="11_05AF9A53D793071F50B877D4EB5E6A6E0B778EE2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alance Sheet" sheetId="1" r:id="rId1"/>
    <sheet name="Profit &amp; Loss" sheetId="2" r:id="rId2"/>
    <sheet name="Notes" sheetId="3" r:id="rId3"/>
    <sheet name="Sch A - Depreciation" sheetId="4" r:id="rId4"/>
    <sheet name="Sch B - Borrowings" sheetId="5" r:id="rId5"/>
    <sheet name="Sch C - GST" sheetId="6" r:id="rId6"/>
    <sheet name="Sch D - TDS" sheetId="7" r:id="rId7"/>
  </sheets>
  <definedNames>
    <definedName name="_xlnm.Print_Area" localSheetId="0">'Balance Sheet'!$A$1:$D$51</definedName>
    <definedName name="_xlnm.Print_Area" localSheetId="2">Notes!$A$1:$C$255</definedName>
    <definedName name="_xlnm.Print_Area" localSheetId="1">'Profit &amp; Loss'!$A$1:$D$43</definedName>
    <definedName name="_xlnm.Print_Area" localSheetId="3">'Sch A - Depreciation'!$A$1:$I$73</definedName>
    <definedName name="_xlnm.Print_Area" localSheetId="4">'Sch B - Borrowings'!$A$1:$J$37</definedName>
    <definedName name="_xlnm.Print_Area" localSheetId="5">'Sch C - GST'!$A$1:$M$46</definedName>
    <definedName name="_xlnm.Print_Area" localSheetId="6">'Sch D - TDS'!$A$1:$H$57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7" l="1"/>
  <c r="H21" i="7"/>
  <c r="G21" i="7"/>
  <c r="F21" i="7"/>
  <c r="H11" i="7"/>
  <c r="G11" i="7"/>
  <c r="F11" i="7"/>
  <c r="E11" i="7"/>
  <c r="M20" i="6"/>
  <c r="L20" i="6"/>
  <c r="K20" i="6"/>
  <c r="J20" i="6"/>
  <c r="I20" i="6"/>
  <c r="G20" i="6"/>
  <c r="F20" i="6"/>
  <c r="E20" i="6"/>
  <c r="D20" i="6"/>
  <c r="C20" i="6"/>
  <c r="B20" i="6"/>
  <c r="H19" i="6"/>
  <c r="H18" i="6"/>
  <c r="H17" i="6"/>
  <c r="H16" i="6"/>
  <c r="H15" i="6"/>
  <c r="H14" i="6"/>
  <c r="H13" i="6"/>
  <c r="H12" i="6"/>
  <c r="H11" i="6"/>
  <c r="H10" i="6"/>
  <c r="H9" i="6"/>
  <c r="H8" i="6"/>
  <c r="H20" i="6" s="1"/>
  <c r="E23" i="6" s="1"/>
  <c r="J16" i="5"/>
  <c r="H16" i="5"/>
  <c r="G16" i="5"/>
  <c r="I15" i="5"/>
  <c r="I14" i="5"/>
  <c r="I13" i="5"/>
  <c r="I12" i="5"/>
  <c r="I11" i="5"/>
  <c r="I10" i="5"/>
  <c r="I9" i="5"/>
  <c r="I8" i="5"/>
  <c r="I7" i="5"/>
  <c r="I16" i="5" s="1"/>
  <c r="H50" i="4"/>
  <c r="E50" i="4"/>
  <c r="D50" i="4"/>
  <c r="C50" i="4"/>
  <c r="B50" i="4"/>
  <c r="I49" i="4"/>
  <c r="F49" i="4"/>
  <c r="F48" i="4"/>
  <c r="I48" i="4" s="1"/>
  <c r="F47" i="4"/>
  <c r="I47" i="4" s="1"/>
  <c r="F46" i="4"/>
  <c r="I46" i="4" s="1"/>
  <c r="F45" i="4"/>
  <c r="I45" i="4" s="1"/>
  <c r="F44" i="4"/>
  <c r="I44" i="4" s="1"/>
  <c r="I43" i="4"/>
  <c r="F43" i="4"/>
  <c r="F42" i="4"/>
  <c r="I42" i="4" s="1"/>
  <c r="F41" i="4"/>
  <c r="I41" i="4" s="1"/>
  <c r="I40" i="4"/>
  <c r="F40" i="4"/>
  <c r="F39" i="4"/>
  <c r="I39" i="4" s="1"/>
  <c r="F38" i="4"/>
  <c r="I38" i="4" s="1"/>
  <c r="I37" i="4"/>
  <c r="F37" i="4"/>
  <c r="F36" i="4"/>
  <c r="I36" i="4" s="1"/>
  <c r="F35" i="4"/>
  <c r="I35" i="4" s="1"/>
  <c r="I34" i="4"/>
  <c r="F34" i="4"/>
  <c r="F33" i="4"/>
  <c r="I33" i="4" s="1"/>
  <c r="F31" i="4"/>
  <c r="I31" i="4" s="1"/>
  <c r="I29" i="4"/>
  <c r="F29" i="4"/>
  <c r="F28" i="4"/>
  <c r="I28" i="4" s="1"/>
  <c r="F27" i="4"/>
  <c r="I27" i="4" s="1"/>
  <c r="I26" i="4"/>
  <c r="F26" i="4"/>
  <c r="F25" i="4"/>
  <c r="I25" i="4" s="1"/>
  <c r="F24" i="4"/>
  <c r="I24" i="4" s="1"/>
  <c r="I23" i="4"/>
  <c r="F23" i="4"/>
  <c r="F22" i="4"/>
  <c r="I22" i="4" s="1"/>
  <c r="F21" i="4"/>
  <c r="I21" i="4" s="1"/>
  <c r="I20" i="4"/>
  <c r="F20" i="4"/>
  <c r="F19" i="4"/>
  <c r="I19" i="4" s="1"/>
  <c r="F18" i="4"/>
  <c r="I18" i="4" s="1"/>
  <c r="I17" i="4"/>
  <c r="F17" i="4"/>
  <c r="F16" i="4"/>
  <c r="I16" i="4" s="1"/>
  <c r="F15" i="4"/>
  <c r="I15" i="4" s="1"/>
  <c r="I14" i="4"/>
  <c r="F14" i="4"/>
  <c r="F13" i="4"/>
  <c r="I13" i="4" s="1"/>
  <c r="F12" i="4"/>
  <c r="I12" i="4" s="1"/>
  <c r="I11" i="4"/>
  <c r="F11" i="4"/>
  <c r="F10" i="4"/>
  <c r="I10" i="4" s="1"/>
  <c r="F9" i="4"/>
  <c r="I9" i="4" s="1"/>
  <c r="I8" i="4"/>
  <c r="F8" i="4"/>
  <c r="F50" i="4" s="1"/>
  <c r="C226" i="3"/>
  <c r="B226" i="3"/>
  <c r="C220" i="3"/>
  <c r="B220" i="3"/>
  <c r="C18" i="2" s="1"/>
  <c r="C205" i="3"/>
  <c r="D17" i="2" s="1"/>
  <c r="B205" i="3"/>
  <c r="C199" i="3"/>
  <c r="D16" i="2" s="1"/>
  <c r="B199" i="3"/>
  <c r="C16" i="2" s="1"/>
  <c r="C190" i="3"/>
  <c r="B190" i="3"/>
  <c r="C183" i="3"/>
  <c r="B183" i="3"/>
  <c r="C177" i="3"/>
  <c r="B177" i="3"/>
  <c r="C13" i="2" s="1"/>
  <c r="C170" i="3"/>
  <c r="B170" i="3"/>
  <c r="C12" i="2" s="1"/>
  <c r="C19" i="2" s="1"/>
  <c r="C164" i="3"/>
  <c r="B164" i="3"/>
  <c r="C150" i="3"/>
  <c r="D7" i="2" s="1"/>
  <c r="D9" i="2" s="1"/>
  <c r="B150" i="3"/>
  <c r="C7" i="2" s="1"/>
  <c r="C9" i="2" s="1"/>
  <c r="C143" i="3"/>
  <c r="B143" i="3"/>
  <c r="C136" i="3"/>
  <c r="B136" i="3"/>
  <c r="C125" i="3"/>
  <c r="B125" i="3"/>
  <c r="C116" i="3"/>
  <c r="B116" i="3"/>
  <c r="C109" i="3"/>
  <c r="B109" i="3"/>
  <c r="C98" i="3"/>
  <c r="D23" i="1" s="1"/>
  <c r="B98" i="3"/>
  <c r="C23" i="1" s="1"/>
  <c r="C92" i="3"/>
  <c r="B92" i="3"/>
  <c r="C86" i="3"/>
  <c r="B86" i="3"/>
  <c r="C76" i="3"/>
  <c r="B76" i="3"/>
  <c r="C69" i="3"/>
  <c r="B69" i="3"/>
  <c r="C56" i="3"/>
  <c r="D15" i="1" s="1"/>
  <c r="B56" i="3"/>
  <c r="C15" i="1" s="1"/>
  <c r="C50" i="3"/>
  <c r="D14" i="1" s="1"/>
  <c r="B50" i="3"/>
  <c r="C14" i="1" s="1"/>
  <c r="C44" i="3"/>
  <c r="B44" i="3"/>
  <c r="C27" i="3"/>
  <c r="B27" i="3"/>
  <c r="D22" i="2"/>
  <c r="C22" i="2"/>
  <c r="D18" i="2"/>
  <c r="C17" i="2"/>
  <c r="D15" i="2"/>
  <c r="C15" i="2"/>
  <c r="D14" i="2"/>
  <c r="C14" i="2"/>
  <c r="D13" i="2"/>
  <c r="D12" i="2"/>
  <c r="D8" i="2"/>
  <c r="C8" i="2"/>
  <c r="D30" i="1"/>
  <c r="C30" i="1"/>
  <c r="D29" i="1"/>
  <c r="C29" i="1"/>
  <c r="D28" i="1"/>
  <c r="C28" i="1"/>
  <c r="D27" i="1"/>
  <c r="C27" i="1"/>
  <c r="D26" i="1"/>
  <c r="C26" i="1"/>
  <c r="D24" i="1"/>
  <c r="C24" i="1"/>
  <c r="D22" i="1"/>
  <c r="C22" i="1"/>
  <c r="D17" i="1"/>
  <c r="C17" i="1"/>
  <c r="D16" i="1"/>
  <c r="C16" i="1"/>
  <c r="D12" i="1"/>
  <c r="C12" i="1"/>
  <c r="D11" i="1"/>
  <c r="C11" i="1"/>
  <c r="D31" i="1" l="1"/>
  <c r="C31" i="1"/>
  <c r="I50" i="4"/>
  <c r="I52" i="4" s="1"/>
  <c r="D19" i="2"/>
  <c r="D21" i="2" s="1"/>
  <c r="D23" i="2" s="1"/>
  <c r="C10" i="3" s="1"/>
  <c r="C13" i="3" s="1"/>
  <c r="D9" i="1" s="1"/>
  <c r="D18" i="1" s="1"/>
  <c r="G8" i="1" s="1"/>
  <c r="C21" i="2"/>
  <c r="C23" i="2" s="1"/>
  <c r="B10" i="3" s="1"/>
  <c r="B13" i="3" s="1"/>
  <c r="C9" i="1" s="1"/>
  <c r="C18" i="1" s="1"/>
  <c r="F8" i="1" s="1"/>
  <c r="E24" i="6"/>
  <c r="E25" i="6" s="1"/>
</calcChain>
</file>

<file path=xl/sharedStrings.xml><?xml version="1.0" encoding="utf-8"?>
<sst xmlns="http://schemas.openxmlformats.org/spreadsheetml/2006/main" count="668" uniqueCount="397">
  <si>
    <t>GUPTA AGENCY</t>
  </si>
  <si>
    <t>(Proprietor: Subhash Chander Gupta)</t>
  </si>
  <si>
    <t>H-129, Mohammadpur Village, New Delhi – 110066  |  PAN: ABZPG3547J  |  GSTIN: 07ABZPG3547J1Z3</t>
  </si>
  <si>
    <t>Balance Sheet as at 31st March 2026</t>
  </si>
  <si>
    <t>(Amount in ₹)</t>
  </si>
  <si>
    <t>Particulars</t>
  </si>
  <si>
    <t>Note No.</t>
  </si>
  <si>
    <t>As at
31.03.2026</t>
  </si>
  <si>
    <t>As at
31.03.2025</t>
  </si>
  <si>
    <t>I.  SOURCES OF FUNDS (EQUITY AND LIABILITIES)</t>
  </si>
  <si>
    <t>Check (L – A)</t>
  </si>
  <si>
    <t xml:space="preserve">   1. Proprietor's Funds</t>
  </si>
  <si>
    <t xml:space="preserve">        Proprietor's Capital Account</t>
  </si>
  <si>
    <t xml:space="preserve">   2. Non-Current Liabilities</t>
  </si>
  <si>
    <t xml:space="preserve">        Long-term Borrowings – Secured</t>
  </si>
  <si>
    <t xml:space="preserve">        Long-term Borrowings – Unsecured</t>
  </si>
  <si>
    <t xml:space="preserve">   3. Current Liabilities</t>
  </si>
  <si>
    <t xml:space="preserve">        Short-term Borrowings</t>
  </si>
  <si>
    <t xml:space="preserve">        Trade Payables</t>
  </si>
  <si>
    <t xml:space="preserve">        Other Current Liabilities</t>
  </si>
  <si>
    <t xml:space="preserve">        Short-term Provisions</t>
  </si>
  <si>
    <t xml:space="preserve">  TOTAL</t>
  </si>
  <si>
    <t>II. APPLICATION OF FUNDS (ASSETS)</t>
  </si>
  <si>
    <t xml:space="preserve">   1. Non-Current Assets</t>
  </si>
  <si>
    <t xml:space="preserve">        Property, Plant &amp; Equipment</t>
  </si>
  <si>
    <t xml:space="preserve">        Capital Work-in-Progress</t>
  </si>
  <si>
    <t xml:space="preserve">        Non-current Investments</t>
  </si>
  <si>
    <t xml:space="preserve">   2. Current Assets</t>
  </si>
  <si>
    <t xml:space="preserve">        Inventories</t>
  </si>
  <si>
    <t xml:space="preserve">        Trade Receivables</t>
  </si>
  <si>
    <t xml:space="preserve">        Cash and Cash Equivalents</t>
  </si>
  <si>
    <t xml:space="preserve">        Short-term Loans and Advances</t>
  </si>
  <si>
    <t xml:space="preserve">        Other Current Assets</t>
  </si>
  <si>
    <t>Significant Accounting Policies and Notes to Accounts – Note 26. The notes and schedules form an integral part of the financial statements.</t>
  </si>
  <si>
    <t>As per our report of even date attached</t>
  </si>
  <si>
    <t>For and on behalf of</t>
  </si>
  <si>
    <t>For G R B &amp; Co.</t>
  </si>
  <si>
    <t>Chartered Accountants</t>
  </si>
  <si>
    <t>FRN: 040755N</t>
  </si>
  <si>
    <t>CA Roopali Garg</t>
  </si>
  <si>
    <t>Partner</t>
  </si>
  <si>
    <t>Subhash Chander Gupta</t>
  </si>
  <si>
    <t>M. No. 570376</t>
  </si>
  <si>
    <t>Proprietor</t>
  </si>
  <si>
    <t>UDIN: ____________________</t>
  </si>
  <si>
    <t>Place: Delhi</t>
  </si>
  <si>
    <t>Date: 25/09/2026</t>
  </si>
  <si>
    <t>Statement of Profit &amp; Loss for the year ended 31st March 2026</t>
  </si>
  <si>
    <t>Year ended
31.03.2026</t>
  </si>
  <si>
    <t>Year ended
31.03.2025</t>
  </si>
  <si>
    <t>I.   Revenue from Operations</t>
  </si>
  <si>
    <t>II.  Other Income</t>
  </si>
  <si>
    <t>III. Total Income (I + II)</t>
  </si>
  <si>
    <t>IV.  Expenses</t>
  </si>
  <si>
    <t xml:space="preserve">    Purchases of Stock-in-Trade</t>
  </si>
  <si>
    <t xml:space="preserve">    Changes in Inventories of Stock-in-Trade</t>
  </si>
  <si>
    <t xml:space="preserve">    Direct Expenses</t>
  </si>
  <si>
    <t xml:space="preserve">    Employee Benefit Expenses</t>
  </si>
  <si>
    <t xml:space="preserve">    Finance Costs</t>
  </si>
  <si>
    <t xml:space="preserve">    Depreciation</t>
  </si>
  <si>
    <t xml:space="preserve">    Other Expenses</t>
  </si>
  <si>
    <t>Total Expenses (IV)</t>
  </si>
  <si>
    <t>V.   Profit before Tax (III – IV)</t>
  </si>
  <si>
    <t>VI.  Tax Expense – Current Tax</t>
  </si>
  <si>
    <t>VII. Net Profit for the year transferred to Capital Account</t>
  </si>
  <si>
    <t>Notes forming part of the Financial Statements for the year ended 31st March 2026</t>
  </si>
  <si>
    <t>Note 1: Proprietor's Capital Account – Subhash Chander Gupta</t>
  </si>
  <si>
    <t>31.03.2026</t>
  </si>
  <si>
    <t>31.03.2025</t>
  </si>
  <si>
    <t xml:space="preserve">    Opening Balance</t>
  </si>
  <si>
    <t xml:space="preserve">    Add: Capital Introduced</t>
  </si>
  <si>
    <t xml:space="preserve">    Add: Net Profit for the year (as per Profit &amp; Loss Statement)</t>
  </si>
  <si>
    <t xml:space="preserve">    Less: Drawings</t>
  </si>
  <si>
    <t xml:space="preserve">    Add: Round Off</t>
  </si>
  <si>
    <t>Closing Balance</t>
  </si>
  <si>
    <t>Capital balances are rounded off to the nearest rupee.</t>
  </si>
  <si>
    <t>Note 2: Long-term Borrowings – Secured Loans  (Refer Schedule B)</t>
  </si>
  <si>
    <t xml:space="preserve">    Axis Bank Ltd. – Loan Against Property (A/c 8038)</t>
  </si>
  <si>
    <t xml:space="preserve">    Cholamandalam Investment &amp; Finance Co. Ltd. (closed – taken over by Axis)</t>
  </si>
  <si>
    <t xml:space="preserve">    HDB Financial Services – CV Loan A/c 61294244</t>
  </si>
  <si>
    <t xml:space="preserve">    HDB Financial Services – CV Loan A/c 61618043</t>
  </si>
  <si>
    <t xml:space="preserve">    HDB Financial Services – CV Loan A/c 61620994</t>
  </si>
  <si>
    <t xml:space="preserve">    ICICI Bank – Car Loan A/c LADEL00045571235</t>
  </si>
  <si>
    <t xml:space="preserve">    Muthoot Finance Ltd. – Gold Loan</t>
  </si>
  <si>
    <t xml:space="preserve">    State Bank of India (RACPC) – Home Loan</t>
  </si>
  <si>
    <t>Total</t>
  </si>
  <si>
    <t>Note 3: Long-term Borrowings – Unsecured Loans  (Refer Schedule B)</t>
  </si>
  <si>
    <t>From NBFCs:</t>
  </si>
  <si>
    <t xml:space="preserve">    Bajaj Finance Ltd.</t>
  </si>
  <si>
    <t xml:space="preserve">    Poonawalla Fincorp Ltd.</t>
  </si>
  <si>
    <t xml:space="preserve">    SMFG India Credit Co. Ltd.</t>
  </si>
  <si>
    <t>From Friends &amp; Relatives:</t>
  </si>
  <si>
    <t xml:space="preserve">    Advance from Bhola</t>
  </si>
  <si>
    <t xml:space="preserve">    Advance from Sanjay Gupta</t>
  </si>
  <si>
    <t xml:space="preserve">    Anupam Gupta</t>
  </si>
  <si>
    <t xml:space="preserve">    Advance from Anita Gupta</t>
  </si>
  <si>
    <t xml:space="preserve">    Advance from Rani Gupta</t>
  </si>
  <si>
    <t xml:space="preserve">    Advance from Ravi Kant</t>
  </si>
  <si>
    <t xml:space="preserve">    Advance from Suman</t>
  </si>
  <si>
    <t>Note 4: Short-term Borrowings</t>
  </si>
  <si>
    <t xml:space="preserve">    Central Bank of India – CC (General MSME) A/c 4090</t>
  </si>
  <si>
    <t>Note 5: Trade Payables</t>
  </si>
  <si>
    <t xml:space="preserve">    Sundry Creditors (J K Flour Mill &amp; others)</t>
  </si>
  <si>
    <t>Note 6: Other Current Liabilities</t>
  </si>
  <si>
    <t xml:space="preserve">    GST Payable</t>
  </si>
  <si>
    <t xml:space="preserve">    Cess Payable</t>
  </si>
  <si>
    <t xml:space="preserve">    TDS Payable</t>
  </si>
  <si>
    <t xml:space="preserve">    PF Payable</t>
  </si>
  <si>
    <t xml:space="preserve">    Salary Payable</t>
  </si>
  <si>
    <t xml:space="preserve">    Expenses Payable</t>
  </si>
  <si>
    <t xml:space="preserve">    Audit Fees Payable</t>
  </si>
  <si>
    <t xml:space="preserve">    Advance from Debtors</t>
  </si>
  <si>
    <t>TDS payable of ₹22,252 (194Q ₹13,107; 194I ₹8,495; 194J ₹650) deposited on 05-04-2026 (Schedule D).</t>
  </si>
  <si>
    <t>Note 7: Short-term Provisions</t>
  </si>
  <si>
    <t xml:space="preserve">    Provision for Income Tax</t>
  </si>
  <si>
    <t>Note 8: Property, Plant &amp; Equipment (Net Block)  (Refer Schedule A)</t>
  </si>
  <si>
    <t xml:space="preserve">    Plant &amp; Machinery (incl. vehicles &amp; e-loaders)</t>
  </si>
  <si>
    <t xml:space="preserve">    Motor Car – Scorpio</t>
  </si>
  <si>
    <t xml:space="preserve">    Furniture &amp; Fixtures</t>
  </si>
  <si>
    <t xml:space="preserve">    Electronic Items</t>
  </si>
  <si>
    <t xml:space="preserve">    Gold</t>
  </si>
  <si>
    <t>Note 9: Non-current Investments</t>
  </si>
  <si>
    <t xml:space="preserve">    PPF Account – Central Bank of India</t>
  </si>
  <si>
    <t>Note 10: Capital Work-in-Progress</t>
  </si>
  <si>
    <t xml:space="preserve">    Capital Work-in-Progress (building construction)</t>
  </si>
  <si>
    <t>Note 11: Inventories</t>
  </si>
  <si>
    <t xml:space="preserve">    Csd</t>
  </si>
  <si>
    <t xml:space="preserve">    Hin</t>
  </si>
  <si>
    <t xml:space="preserve">    Juice</t>
  </si>
  <si>
    <t xml:space="preserve">    Soda</t>
  </si>
  <si>
    <t xml:space="preserve">    Atta</t>
  </si>
  <si>
    <t xml:space="preserve">    Water</t>
  </si>
  <si>
    <t>Closing stock is as taken, valued and certified by the Proprietor, valued at cost or net realisable value, whichever is lower. Item values rounded to the nearest rupee.</t>
  </si>
  <si>
    <t>Note 12: Trade Receivables (Unsecured, considered good)</t>
  </si>
  <si>
    <t xml:space="preserve">    Sundry Debtors</t>
  </si>
  <si>
    <t>Note 13: Cash and Cash Equivalents</t>
  </si>
  <si>
    <t xml:space="preserve">    Cash in Hand</t>
  </si>
  <si>
    <t xml:space="preserve">    Central Bank of India – Savings A/c 3670</t>
  </si>
  <si>
    <t xml:space="preserve">    Central Bank of India – A/c 9271</t>
  </si>
  <si>
    <t xml:space="preserve">    Axis Bank – Savings A/c</t>
  </si>
  <si>
    <t>Note 14: Short-term Loans and Advances</t>
  </si>
  <si>
    <t xml:space="preserve">    Advance paid to Ansal</t>
  </si>
  <si>
    <t xml:space="preserve">    Commercial Office (advance)</t>
  </si>
  <si>
    <t xml:space="preserve">    Unsecured loans – debit balances</t>
  </si>
  <si>
    <t xml:space="preserve">    Security Deposits</t>
  </si>
  <si>
    <t xml:space="preserve">    Advance to Creditors (Moon Beverages)</t>
  </si>
  <si>
    <t xml:space="preserve">    Expenses Payable – debit balance</t>
  </si>
  <si>
    <t>Note 15: Other Current Assets</t>
  </si>
  <si>
    <t xml:space="preserve">    GST Input Credit</t>
  </si>
  <si>
    <t xml:space="preserve">    Cess Input Credit</t>
  </si>
  <si>
    <t>Note 16: Revenue from Operations  (Refer Schedule C)</t>
  </si>
  <si>
    <t xml:space="preserve">    Sales – Taxable (GST)</t>
  </si>
  <si>
    <t xml:space="preserve">    Sales – Exempt / Nil Rated</t>
  </si>
  <si>
    <t>Note 17: Other Income</t>
  </si>
  <si>
    <t xml:space="preserve">    Residential Rental Income – Building No. 35</t>
  </si>
  <si>
    <t xml:space="preserve">    Residential Rental Income – Building No. 50</t>
  </si>
  <si>
    <t xml:space="preserve">    Discount &amp; Incentive Receivable</t>
  </si>
  <si>
    <t xml:space="preserve">    Discount Received</t>
  </si>
  <si>
    <t xml:space="preserve">    Insurance Claim Received</t>
  </si>
  <si>
    <t xml:space="preserve">    Commission Income</t>
  </si>
  <si>
    <t xml:space="preserve">    Salary from DFM</t>
  </si>
  <si>
    <t xml:space="preserve">    Scheme Target</t>
  </si>
  <si>
    <t xml:space="preserve">    Profit on Sale of Truck</t>
  </si>
  <si>
    <t>Note 18: Purchases of Stock-in-Trade</t>
  </si>
  <si>
    <t xml:space="preserve">    Purchases</t>
  </si>
  <si>
    <t>Note 19: Changes in Inventories of Stock-in-Trade</t>
  </si>
  <si>
    <t xml:space="preserve">    Opening Stock</t>
  </si>
  <si>
    <t xml:space="preserve">    Less: Closing Stock</t>
  </si>
  <si>
    <t>(Increase) / Decrease</t>
  </si>
  <si>
    <t>Note 20: Direct Expenses</t>
  </si>
  <si>
    <t xml:space="preserve">    Carriage Outward</t>
  </si>
  <si>
    <t>Note 21: Employee Benefit Expenses</t>
  </si>
  <si>
    <t xml:space="preserve">    Salaries &amp; Wages</t>
  </si>
  <si>
    <t xml:space="preserve">    Employer's Contribution to PF</t>
  </si>
  <si>
    <t>Note 22: Finance Costs</t>
  </si>
  <si>
    <t xml:space="preserve">    Bank Charges &amp; Interest (incl. CC interest)</t>
  </si>
  <si>
    <t xml:space="preserve">    Vehicle Loan Interest</t>
  </si>
  <si>
    <t xml:space="preserve">    Loan Processing, Documentation &amp; Related Charges</t>
  </si>
  <si>
    <t xml:space="preserve">    PF Administrative Charges</t>
  </si>
  <si>
    <t>Note 23: Depreciation  (Refer Schedule A)</t>
  </si>
  <si>
    <t xml:space="preserve">    Depreciation on Property, Plant &amp; Equipment</t>
  </si>
  <si>
    <t>Note 24: Other Expenses</t>
  </si>
  <si>
    <t xml:space="preserve">    Rent (incl. RCM ₹3,39,760)</t>
  </si>
  <si>
    <t xml:space="preserve">    Repairs &amp; Maintenance</t>
  </si>
  <si>
    <t xml:space="preserve">    Insurance (vehicle, health, home, credit life)</t>
  </si>
  <si>
    <t xml:space="preserve">    Office Expenses (printing, misc., Paytm, road tax)</t>
  </si>
  <si>
    <t xml:space="preserve">    Professional Fees</t>
  </si>
  <si>
    <t xml:space="preserve">    Electricity Expenses</t>
  </si>
  <si>
    <t xml:space="preserve">    Audit Fees</t>
  </si>
  <si>
    <t xml:space="preserve">    Telephone Expenses</t>
  </si>
  <si>
    <t xml:space="preserve">    Conveyance / Vehicle Running</t>
  </si>
  <si>
    <t xml:space="preserve">    Interest on Income Tax</t>
  </si>
  <si>
    <t>Note 25: Tax Expense</t>
  </si>
  <si>
    <t>Note 26: Significant Accounting Policies and Other Notes</t>
  </si>
  <si>
    <t>1.  Basis of preparation: The financial statements are prepared under the historical cost convention on accrual basis, in accordance with generally accepted accounting principles in India, as applicable to a proprietorship concern.</t>
  </si>
  <si>
    <t>2.  Revenue recognition: Sales of beverages and allied products are recognised on dispatch to customers, net of GST, cess and returns. Sales agree with GST returns (Schedule C).</t>
  </si>
  <si>
    <t>3.  Inventories: Stock-in-trade is valued at cost or net realisable value, whichever is lower, as taken, valued and certified by the Proprietor.</t>
  </si>
  <si>
    <t>4.  Property, plant &amp; equipment: Stated at cost less depreciation, provided on the Written Down Value method at rates prescribed under Section 32 of the Income-tax Act, 1961 (Schedule A). Capital work-in-progress is stated at cost.</t>
  </si>
  <si>
    <t>5.  Borrowings: Lender-wise details, nature of security and interest are given in Schedule B.</t>
  </si>
  <si>
    <t>6.  TDS: Tax deducted at source has been deposited and quarterly returns filed within due dates (Schedule D).</t>
  </si>
  <si>
    <t>7.  Balances of trade receivables, trade payables, loans and advances are subject to confirmation and reconciliation, if any.</t>
  </si>
  <si>
    <t>8.  Figures in the Balance Sheet and related notes are rounded off to the nearest rupee. Previous year figures have been regrouped / rearranged wherever necessary.</t>
  </si>
  <si>
    <t>Schedule A – Depreciation as per Section 32 of the Income-tax Act, 1961 (FY 2025-26, AY 2026-27)</t>
  </si>
  <si>
    <t>WDV as on
01.04.2025</t>
  </si>
  <si>
    <t>Additions
≥ 180 days</t>
  </si>
  <si>
    <t>Additions
&lt; 180 days</t>
  </si>
  <si>
    <t>Deletions
(Sale proceeds)</t>
  </si>
  <si>
    <t>Total as on
31.03.2026</t>
  </si>
  <si>
    <t>Rate</t>
  </si>
  <si>
    <t>Depreciation
for the year</t>
  </si>
  <si>
    <t>WDV as on
31.03.2026</t>
  </si>
  <si>
    <t>Plant &amp; Machinery</t>
  </si>
  <si>
    <t xml:space="preserve">  Activa 125</t>
  </si>
  <si>
    <t xml:space="preserve">  CYCLE</t>
  </si>
  <si>
    <t xml:space="preserve">  SAC LG LSAQ18GNZA</t>
  </si>
  <si>
    <t xml:space="preserve">  Tata 709 LPT Truck</t>
  </si>
  <si>
    <t xml:space="preserve">  TATA ACE</t>
  </si>
  <si>
    <t xml:space="preserve">  MOTER CYCLE</t>
  </si>
  <si>
    <t xml:space="preserve">  MARUTI ALTO</t>
  </si>
  <si>
    <t xml:space="preserve">  MARUTI EECO</t>
  </si>
  <si>
    <t xml:space="preserve">  MARUTI EECO II</t>
  </si>
  <si>
    <t xml:space="preserve">  MARUTI SWIFT VXI</t>
  </si>
  <si>
    <t xml:space="preserve">  FIRE EQUIPMENT</t>
  </si>
  <si>
    <t xml:space="preserve">  Activa 6G</t>
  </si>
  <si>
    <t xml:space="preserve">  AC</t>
  </si>
  <si>
    <t xml:space="preserve">  TATANIU_WH-INTRA V20 GOLD 1</t>
  </si>
  <si>
    <t xml:space="preserve">  TATANIU_WH-INTRA V20 GOLD 2</t>
  </si>
  <si>
    <t xml:space="preserve">  TATANIU_WH-INTRA V20 GOLD 3</t>
  </si>
  <si>
    <t xml:space="preserve">  NEOI (LD1000) Tangree 2W 3</t>
  </si>
  <si>
    <t xml:space="preserve">  NEOI (LD1000) Tangree 3W 1</t>
  </si>
  <si>
    <t xml:space="preserve">  NEOI (LD1000) Tangree 3W 2</t>
  </si>
  <si>
    <t xml:space="preserve">  NEOI (LD1000) Tangree 3W 3</t>
  </si>
  <si>
    <t xml:space="preserve">  NEOI (LD1000) Tangree 3W 4</t>
  </si>
  <si>
    <t xml:space="preserve">  New Scorpio Diesal</t>
  </si>
  <si>
    <t>Furniture &amp; Fixtures</t>
  </si>
  <si>
    <t xml:space="preserve">  FURNITURE &amp; FIXTURES</t>
  </si>
  <si>
    <t>Electronics</t>
  </si>
  <si>
    <t xml:space="preserve">  Blutooth Printer</t>
  </si>
  <si>
    <t xml:space="preserve">  COMPUTER</t>
  </si>
  <si>
    <t xml:space="preserve">  INVERTER</t>
  </si>
  <si>
    <t xml:space="preserve">  LG 139CM SMART TV</t>
  </si>
  <si>
    <t xml:space="preserve">  PRINTER</t>
  </si>
  <si>
    <t xml:space="preserve">  REFRIGERATOR</t>
  </si>
  <si>
    <t xml:space="preserve">  UPS</t>
  </si>
  <si>
    <t xml:space="preserve">  MOBILE</t>
  </si>
  <si>
    <t xml:space="preserve">  HomeTheater</t>
  </si>
  <si>
    <t xml:space="preserve">  Iphone</t>
  </si>
  <si>
    <t xml:space="preserve">  Samsung</t>
  </si>
  <si>
    <t xml:space="preserve">  Haier HRB-600MGU1 Refrigerator</t>
  </si>
  <si>
    <t xml:space="preserve">  Iphone mobile 2</t>
  </si>
  <si>
    <t xml:space="preserve">  Water Heater</t>
  </si>
  <si>
    <t xml:space="preserve">  SAMSUNG 83 S90F T.V.</t>
  </si>
  <si>
    <t>GRAND TOTAL</t>
  </si>
  <si>
    <t>Add: Gold (non-depreciable)</t>
  </si>
  <si>
    <t>Net Block as per Balance Sheet (Note 8)</t>
  </si>
  <si>
    <t>Tata 709 LPT Truck sold during the year for ₹1,83,195; depreciation on the balance WDV charged and the asset removed from the block (book loss of ₹5,986.69 on the asset).</t>
  </si>
  <si>
    <t>Additions put to use for less than 180 days are depreciated at half the prescribed rate.</t>
  </si>
  <si>
    <t>Schedule B – Lender-wise Borrowings as on 31st March 2026</t>
  </si>
  <si>
    <t>S.No</t>
  </si>
  <si>
    <t>Lender</t>
  </si>
  <si>
    <t>Loan A/c No.</t>
  </si>
  <si>
    <t>Borrower</t>
  </si>
  <si>
    <t>Nature</t>
  </si>
  <si>
    <t>Secured /
Unsecured</t>
  </si>
  <si>
    <t>As per Books
31.03.2026</t>
  </si>
  <si>
    <t>As per Lender
Statement</t>
  </si>
  <si>
    <t>Difference</t>
  </si>
  <si>
    <t>Interest
FY 2025-26</t>
  </si>
  <si>
    <t>Axis Bank Ltd.</t>
  </si>
  <si>
    <t>SBR012613028038</t>
  </si>
  <si>
    <t>Subhash Chand Gupta</t>
  </si>
  <si>
    <t>Loan Against Property</t>
  </si>
  <si>
    <t>Secured</t>
  </si>
  <si>
    <t>Cholamandalam Inv. &amp; Fin. Co.</t>
  </si>
  <si>
    <t>HE01XBVO0000058448</t>
  </si>
  <si>
    <t>Home Equity Loan (closed – Axis takeover)</t>
  </si>
  <si>
    <t>ICICI Bank Ltd.</t>
  </si>
  <si>
    <t>LADEL00045571235</t>
  </si>
  <si>
    <t>Auto Loan (Car)</t>
  </si>
  <si>
    <t>Bajaj Finance Ltd.</t>
  </si>
  <si>
    <t>P401PPS49835125</t>
  </si>
  <si>
    <t>Gupta Agency</t>
  </si>
  <si>
    <t>SME Business Loan</t>
  </si>
  <si>
    <t>Unsecured</t>
  </si>
  <si>
    <t>Poonawalla Fincorp Ltd.</t>
  </si>
  <si>
    <t>BLUDLDEBL_000019434458</t>
  </si>
  <si>
    <t>Business Loan</t>
  </si>
  <si>
    <t>SMFG India Credit Co. Ltd.</t>
  </si>
  <si>
    <t>218502412234677</t>
  </si>
  <si>
    <t>Business Instalment Loan</t>
  </si>
  <si>
    <t>HDB Financial Services Ltd.</t>
  </si>
  <si>
    <t>61294244 / 61618043 / 61620994</t>
  </si>
  <si>
    <t>Commercial Vehicle Loans (3)</t>
  </si>
  <si>
    <t>State Bank of India</t>
  </si>
  <si>
    <t>41481610274</t>
  </si>
  <si>
    <t>Ravi Kant Gupta</t>
  </si>
  <si>
    <t>Home Loan</t>
  </si>
  <si>
    <t>Muthoot Finance Ltd.</t>
  </si>
  <si>
    <t>00012/MBE/000012</t>
  </si>
  <si>
    <t>Gold Loan (bullet)</t>
  </si>
  <si>
    <t>TOTAL (Term Loans)</t>
  </si>
  <si>
    <t>Other borrowings as per books: Central Bank of India CC ₹1,93,46,532 (Note 4); unsecured loans from friends &amp; relatives ₹23,13,951 (Note 3).</t>
  </si>
  <si>
    <t>Current maturities (next 12 months) as per lender schedules: ₹1,05,79,965 (incl. Muthoot gold loan ₹69,50,000 – bullet repayment).</t>
  </si>
  <si>
    <t>Schedule C – Month-wise GST Summary as per Returns (FY 2025-26)</t>
  </si>
  <si>
    <t>Outward Supplies (GSTR-1)</t>
  </si>
  <si>
    <t>Input Tax Credit (GSTR-3B)</t>
  </si>
  <si>
    <t>Month</t>
  </si>
  <si>
    <t>Taxable Value</t>
  </si>
  <si>
    <t>Nil / Exempt</t>
  </si>
  <si>
    <t>IGST</t>
  </si>
  <si>
    <t>CGST</t>
  </si>
  <si>
    <t>SGST</t>
  </si>
  <si>
    <t>Cess</t>
  </si>
  <si>
    <t>Total Sales</t>
  </si>
  <si>
    <t>RCM ITC
(CGST+SGST)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</si>
  <si>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</si>
  <si>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</si>
  <si>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</si>
  <si>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</si>
  <si>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</si>
  <si>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</si>
  <si>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</si>
  <si>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</si>
  <si>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</si>
  <si>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</si>
  <si>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</si>
  <si>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</si>
  <si>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</si>
  <si>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Reconciliation</t>
  </si>
  <si>
    <t>Total Sales as per GST Returns</t>
  </si>
  <si>
    <t>Revenue from Operations as per Books (Note 16)</t>
  </si>
  <si>
    <t>As per GSTR-3B annual summary: Total output tax ₹4,38,94,983.60 (incl. cess ₹67,23,983.97); RCM tax ₹61,156.80; net ITC ₹4,27,05,737.73; tax paid in cash ₹1,10,928; no interest or late fee.</t>
  </si>
  <si>
    <t>GST payable of ₹35,26,340 and GST input of ₹43,89,784 as at 31.03.2026 are shown in Notes 6 and 15 respectively.</t>
  </si>
  <si>
    <t>Schedule D – TDS Deducted, Deposited &amp; Returns Filed (FY 2025-26)  |  TAN: DELS55914F</t>
  </si>
  <si>
    <t>A. Section-wise TDS</t>
  </si>
  <si>
    <t>Nature of Payment / Deductee</t>
  </si>
  <si>
    <t>Section</t>
  </si>
  <si>
    <t>Amount Paid /
Credited*</t>
  </si>
  <si>
    <t>TDS Deducted</t>
  </si>
  <si>
    <t>TDS Deposited</t>
  </si>
  <si>
    <t>Interest / Fee</t>
  </si>
  <si>
    <t>Purchase of Goods (Moon Beverages Ltd.)</t>
  </si>
  <si>
    <t>194Q</t>
  </si>
  <si>
    <t>Rent – Land / Building (Kanwar Singh)</t>
  </si>
  <si>
    <t>194I</t>
  </si>
  <si>
    <t>Professional / Technical Fees (Nazma Praveen)</t>
  </si>
  <si>
    <t>194J</t>
  </si>
  <si>
    <t>* Amount paid/credited derived from TDS at the applicable rate; for 194Q it is purchases in excess of ₹50 lakh threshold.</t>
  </si>
  <si>
    <t>B. Quarterly TDS Returns (Form 26Q)</t>
  </si>
  <si>
    <t>Qtr</t>
  </si>
  <si>
    <t>Period</t>
  </si>
  <si>
    <t>Filed on</t>
  </si>
  <si>
    <t>Due Date</t>
  </si>
  <si>
    <t>Status</t>
  </si>
  <si>
    <t>Amount Paid /
Credited</t>
  </si>
  <si>
    <t>Q1</t>
  </si>
  <si>
    <t>01-04-2025 to 30-06-2025</t>
  </si>
  <si>
    <t>On Time</t>
  </si>
  <si>
    <t>Q2</t>
  </si>
  <si>
    <t>01-07-2025 to 30-09-2025</t>
  </si>
  <si>
    <t>Q3</t>
  </si>
  <si>
    <t>01-10-2025 to 31-12-2025</t>
  </si>
  <si>
    <t>Q4</t>
  </si>
  <si>
    <t>01-01-2026 to 31-03-2026</t>
  </si>
  <si>
    <t>C. TDS Payable as on 31.03.2026 (Note 6)</t>
  </si>
  <si>
    <t>Month of
Deduction</t>
  </si>
  <si>
    <t>Deposited on</t>
  </si>
  <si>
    <t>Amount</t>
  </si>
  <si>
    <t>TDS payable</t>
  </si>
  <si>
    <t>Mar-2026</t>
  </si>
  <si>
    <t>05-04-2026</t>
  </si>
  <si>
    <t>30-04-2026</t>
  </si>
  <si>
    <t>Paid on time</t>
  </si>
  <si>
    <t>D. Acknowledgement Details – Form 26Q (e-Filing)</t>
  </si>
  <si>
    <t>Quarterly Statement
Receipt No.</t>
  </si>
  <si>
    <t>FVU
Version</t>
  </si>
  <si>
    <t>Token / RRR No.</t>
  </si>
  <si>
    <t>Form 27A
File Hash</t>
  </si>
  <si>
    <t>Verified By
(PAN)</t>
  </si>
  <si>
    <t>Capacity</t>
  </si>
  <si>
    <t>487957680290725</t>
  </si>
  <si>
    <t>9.2</t>
  </si>
  <si>
    <t>770000330360251</t>
  </si>
  <si>
    <t>00000000000207264790</t>
  </si>
  <si>
    <t>ABZPG3547J</t>
  </si>
  <si>
    <t>PROPRIETOR</t>
  </si>
  <si>
    <t>973941750081025</t>
  </si>
  <si>
    <t>770000339737215</t>
  </si>
  <si>
    <t>00000000000136963266</t>
  </si>
  <si>
    <t>254956650190126</t>
  </si>
  <si>
    <t>770000358993810</t>
  </si>
  <si>
    <t>00000000000121516827</t>
  </si>
  <si>
    <t>809077460050526</t>
  </si>
  <si>
    <t>9.4</t>
  </si>
  <si>
    <t>770000375250735</t>
  </si>
  <si>
    <t>00000000000155197601</t>
  </si>
  <si>
    <t>All TDS deposited and 26Q returns filed within due dates; no interest u/s 201(1A) or fee u/s 234E. No correction statement filed for FY 2025-26.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</si>
</sst>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0;\(###,##0\);\-"/>
    <numFmt numFmtId="165" formatCode="###,##0.00;\(###,##0.00\);\-"/>
    <numFmt numFmtId="166" formatCode="0.0%"/>
    <numFmt numFmtId="167" formatCode="dd\-mm\-yyyy"/>
  </numFmts>
  <fonts count="17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0"/>
      <color rgb="FF000000"/>
      <name val="Arial"/>
      <family val="2"/>
    </font>
    <font>
      <sz val="9"/>
      <color rgb="FF595959"/>
      <name val="Arial"/>
      <family val="2"/>
    </font>
    <font>
      <b/>
      <sz val="12"/>
      <color rgb="FF1F3864"/>
      <name val="Arial"/>
      <family val="2"/>
    </font>
    <font>
      <i/>
      <sz val="9"/>
      <color rgb="FF000000"/>
      <name val="Arial"/>
      <family val="2"/>
    </font>
    <font>
      <b/>
      <sz val="10"/>
      <color rgb="FF1F3864"/>
      <name val="Arial"/>
      <family val="2"/>
    </font>
    <font>
      <i/>
      <sz val="8"/>
      <color rgb="FFC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.5"/>
      <color rgb="FF1F3864"/>
      <name val="Arial"/>
      <family val="2"/>
    </font>
    <font>
      <sz val="10"/>
      <name val="Arial"/>
      <family val="2"/>
    </font>
    <font>
      <sz val="9.5"/>
      <color rgb="FF00000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BDD7EE"/>
      </patternFill>
    </fill>
    <fill>
      <patternFill patternType="solid">
        <fgColor rgb="FFBDD7EE"/>
        <bgColor rgb="FFDCE6F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8" fillId="0" borderId="0" xfId="0" applyFont="1"/>
    <xf numFmtId="0" fontId="15" fillId="3" borderId="1" xfId="0" applyFont="1" applyFill="1" applyBorder="1" applyAlignment="1">
      <alignment horizontal="center"/>
    </xf>
    <xf numFmtId="0" fontId="5" fillId="0" borderId="0" xfId="0" applyFont="1"/>
    <xf numFmtId="0" fontId="1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7" fillId="0" borderId="0" xfId="0" applyFont="1"/>
    <xf numFmtId="0" fontId="2" fillId="0" borderId="2" xfId="0" applyFont="1" applyBorder="1"/>
    <xf numFmtId="0" fontId="8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2" fillId="0" borderId="0" xfId="0" applyFont="1"/>
    <xf numFmtId="0" fontId="9" fillId="0" borderId="0" xfId="0" applyFont="1"/>
    <xf numFmtId="0" fontId="8" fillId="0" borderId="0" xfId="0" applyFont="1"/>
    <xf numFmtId="165" fontId="8" fillId="0" borderId="2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0" fontId="10" fillId="0" borderId="0" xfId="0" applyFont="1"/>
    <xf numFmtId="165" fontId="11" fillId="0" borderId="2" xfId="0" applyNumberFormat="1" applyFont="1" applyBorder="1"/>
    <xf numFmtId="0" fontId="2" fillId="0" borderId="3" xfId="0" applyFont="1" applyBorder="1"/>
    <xf numFmtId="0" fontId="13" fillId="0" borderId="2" xfId="0" applyFont="1" applyBorder="1"/>
    <xf numFmtId="0" fontId="14" fillId="0" borderId="2" xfId="0" applyFont="1" applyBorder="1"/>
    <xf numFmtId="165" fontId="14" fillId="0" borderId="2" xfId="0" applyNumberFormat="1" applyFont="1" applyBorder="1" applyAlignment="1">
      <alignment horizontal="right"/>
    </xf>
    <xf numFmtId="9" fontId="14" fillId="0" borderId="2" xfId="0" applyNumberFormat="1" applyFont="1" applyBorder="1" applyAlignment="1">
      <alignment horizontal="center"/>
    </xf>
    <xf numFmtId="0" fontId="0" fillId="0" borderId="3" xfId="0" applyBorder="1"/>
    <xf numFmtId="0" fontId="14" fillId="0" borderId="0" xfId="0" applyFont="1"/>
    <xf numFmtId="165" fontId="14" fillId="0" borderId="0" xfId="0" applyNumberFormat="1" applyFont="1" applyAlignment="1">
      <alignment horizontal="right"/>
    </xf>
    <xf numFmtId="0" fontId="5" fillId="0" borderId="0" xfId="0" applyFont="1"/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5" fillId="3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165" fontId="16" fillId="0" borderId="3" xfId="0" applyNumberFormat="1" applyFont="1" applyBorder="1" applyAlignment="1">
      <alignment horizontal="right"/>
    </xf>
    <xf numFmtId="0" fontId="6" fillId="0" borderId="0" xfId="0" applyFont="1"/>
    <xf numFmtId="165" fontId="11" fillId="0" borderId="1" xfId="0" applyNumberFormat="1" applyFont="1" applyBorder="1"/>
    <xf numFmtId="165" fontId="15" fillId="0" borderId="1" xfId="0" applyNumberFormat="1" applyFont="1" applyBorder="1"/>
    <xf numFmtId="166" fontId="8" fillId="0" borderId="2" xfId="0" applyNumberFormat="1" applyFont="1" applyBorder="1" applyAlignment="1">
      <alignment horizontal="center" vertical="center" wrapText="1"/>
    </xf>
    <xf numFmtId="167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160560</xdr:rowOff>
    </xdr:from>
    <xdr:to>
      <xdr:col>0</xdr:col>
      <xdr:colOff>1618920</xdr:colOff>
      <xdr:row>43</xdr:row>
      <xdr:rowOff>65160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81056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37</xdr:row>
      <xdr:rowOff>160920</xdr:rowOff>
    </xdr:from>
    <xdr:to>
      <xdr:col>3</xdr:col>
      <xdr:colOff>399600</xdr:colOff>
      <xdr:row>41</xdr:row>
      <xdr:rowOff>17640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11160" y="7620120"/>
          <a:ext cx="180936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160920</xdr:rowOff>
    </xdr:from>
    <xdr:to>
      <xdr:col>0</xdr:col>
      <xdr:colOff>1618920</xdr:colOff>
      <xdr:row>35</xdr:row>
      <xdr:rowOff>65160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28668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29</xdr:row>
      <xdr:rowOff>160560</xdr:rowOff>
    </xdr:from>
    <xdr:to>
      <xdr:col>3</xdr:col>
      <xdr:colOff>399600</xdr:colOff>
      <xdr:row>33</xdr:row>
      <xdr:rowOff>17280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11160" y="6095880"/>
          <a:ext cx="180936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242</xdr:row>
      <xdr:rowOff>160560</xdr:rowOff>
    </xdr:from>
    <xdr:to>
      <xdr:col>0</xdr:col>
      <xdr:colOff>1618920</xdr:colOff>
      <xdr:row>247</xdr:row>
      <xdr:rowOff>64800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280660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241</xdr:row>
      <xdr:rowOff>160560</xdr:rowOff>
    </xdr:from>
    <xdr:to>
      <xdr:col>2</xdr:col>
      <xdr:colOff>399600</xdr:colOff>
      <xdr:row>245</xdr:row>
      <xdr:rowOff>17640</xdr:rowOff>
    </xdr:to>
    <xdr:pic>
      <xdr:nvPicPr>
        <xdr:cNvPr id="5" name="Image 2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370040" y="52616160"/>
          <a:ext cx="180936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160560</xdr:rowOff>
    </xdr:from>
    <xdr:to>
      <xdr:col>0</xdr:col>
      <xdr:colOff>1618920</xdr:colOff>
      <xdr:row>65</xdr:row>
      <xdr:rowOff>64800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186812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59</xdr:row>
      <xdr:rowOff>160560</xdr:rowOff>
    </xdr:from>
    <xdr:to>
      <xdr:col>7</xdr:col>
      <xdr:colOff>188280</xdr:colOff>
      <xdr:row>63</xdr:row>
      <xdr:rowOff>17640</xdr:rowOff>
    </xdr:to>
    <xdr:pic>
      <xdr:nvPicPr>
        <xdr:cNvPr id="7" name="Image 2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132240" y="11677680"/>
          <a:ext cx="180936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160560</xdr:rowOff>
    </xdr:from>
    <xdr:to>
      <xdr:col>1</xdr:col>
      <xdr:colOff>1618920</xdr:colOff>
      <xdr:row>29</xdr:row>
      <xdr:rowOff>64800</xdr:rowOff>
    </xdr:to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2440" y="636264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160560</xdr:rowOff>
    </xdr:from>
    <xdr:to>
      <xdr:col>8</xdr:col>
      <xdr:colOff>752400</xdr:colOff>
      <xdr:row>27</xdr:row>
      <xdr:rowOff>17640</xdr:rowOff>
    </xdr:to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951760" y="6172200"/>
          <a:ext cx="180936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160560</xdr:rowOff>
    </xdr:from>
    <xdr:to>
      <xdr:col>1</xdr:col>
      <xdr:colOff>914040</xdr:colOff>
      <xdr:row>38</xdr:row>
      <xdr:rowOff>65160</xdr:rowOff>
    </xdr:to>
    <xdr:pic>
      <xdr:nvPicPr>
        <xdr:cNvPr id="10" name="Image 1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87708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160920</xdr:rowOff>
    </xdr:from>
    <xdr:to>
      <xdr:col>10</xdr:col>
      <xdr:colOff>117720</xdr:colOff>
      <xdr:row>36</xdr:row>
      <xdr:rowOff>17640</xdr:rowOff>
    </xdr:to>
    <xdr:pic>
      <xdr:nvPicPr>
        <xdr:cNvPr id="11" name="Image 2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612560" y="6686640"/>
          <a:ext cx="180936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160560</xdr:rowOff>
    </xdr:from>
    <xdr:to>
      <xdr:col>1</xdr:col>
      <xdr:colOff>1618920</xdr:colOff>
      <xdr:row>49</xdr:row>
      <xdr:rowOff>65160</xdr:rowOff>
    </xdr:to>
    <xdr:pic>
      <xdr:nvPicPr>
        <xdr:cNvPr id="12" name="Image 1" descr="Pictur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3000" y="939168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43</xdr:row>
      <xdr:rowOff>160920</xdr:rowOff>
    </xdr:from>
    <xdr:to>
      <xdr:col>5</xdr:col>
      <xdr:colOff>681840</xdr:colOff>
      <xdr:row>47</xdr:row>
      <xdr:rowOff>17640</xdr:rowOff>
    </xdr:to>
    <xdr:pic>
      <xdr:nvPicPr>
        <xdr:cNvPr id="13" name="Image 2" descr="Pictur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216040" y="9201240"/>
          <a:ext cx="180936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"/>
  <sheetViews>
    <sheetView showGridLines="0" tabSelected="1" zoomScaleNormal="100" workbookViewId="0">
      <selection sqref="A1:D1"/>
    </sheetView>
  </sheetViews>
  <sheetFormatPr defaultColWidth="8.6328125" defaultRowHeight="14.5" x14ac:dyDescent="0.35"/>
  <cols>
    <col min="1" max="1" width="55" customWidth="1"/>
    <col min="2" max="2" width="9" customWidth="1"/>
    <col min="3" max="4" width="20" customWidth="1"/>
  </cols>
  <sheetData>
    <row r="1" spans="1:7" ht="17.399999999999999" customHeight="1" x14ac:dyDescent="0.35">
      <c r="A1" s="14" t="s">
        <v>0</v>
      </c>
      <c r="B1" s="14"/>
      <c r="C1" s="14"/>
      <c r="D1" s="14"/>
    </row>
    <row r="2" spans="1:7" ht="15" customHeight="1" x14ac:dyDescent="0.35">
      <c r="A2" s="13" t="s">
        <v>1</v>
      </c>
      <c r="B2" s="13"/>
      <c r="C2" s="13"/>
      <c r="D2" s="13"/>
    </row>
    <row r="3" spans="1:7" ht="15" customHeight="1" x14ac:dyDescent="0.35">
      <c r="A3" s="12" t="s">
        <v>2</v>
      </c>
      <c r="B3" s="12"/>
      <c r="C3" s="12"/>
      <c r="D3" s="12"/>
    </row>
    <row r="4" spans="1:7" ht="19.5" customHeight="1" x14ac:dyDescent="0.35">
      <c r="A4" s="11" t="s">
        <v>3</v>
      </c>
      <c r="B4" s="11"/>
      <c r="C4" s="11"/>
      <c r="D4" s="11"/>
    </row>
    <row r="5" spans="1:7" x14ac:dyDescent="0.35">
      <c r="D5" s="15" t="s">
        <v>4</v>
      </c>
    </row>
    <row r="6" spans="1:7" ht="30" customHeight="1" x14ac:dyDescent="0.35">
      <c r="A6" s="16" t="s">
        <v>5</v>
      </c>
      <c r="B6" s="16" t="s">
        <v>6</v>
      </c>
      <c r="C6" s="16" t="s">
        <v>7</v>
      </c>
      <c r="D6" s="16" t="s">
        <v>8</v>
      </c>
    </row>
    <row r="7" spans="1:7" x14ac:dyDescent="0.35">
      <c r="A7" s="17" t="s">
        <v>9</v>
      </c>
      <c r="B7" s="18"/>
      <c r="C7" s="18"/>
      <c r="D7" s="18"/>
      <c r="F7" s="19" t="s">
        <v>10</v>
      </c>
    </row>
    <row r="8" spans="1:7" x14ac:dyDescent="0.35">
      <c r="A8" s="20" t="s">
        <v>11</v>
      </c>
      <c r="B8" s="18"/>
      <c r="C8" s="18"/>
      <c r="D8" s="18"/>
      <c r="F8" s="19">
        <f>C18-C31</f>
        <v>0</v>
      </c>
      <c r="G8" s="19">
        <f>D18-D31</f>
        <v>0</v>
      </c>
    </row>
    <row r="9" spans="1:7" x14ac:dyDescent="0.35">
      <c r="A9" s="21" t="s">
        <v>12</v>
      </c>
      <c r="B9" s="22">
        <v>1</v>
      </c>
      <c r="C9" s="23">
        <f>Notes!B13</f>
        <v>2590190.0000000154</v>
      </c>
      <c r="D9" s="23">
        <f>Notes!C13</f>
        <v>2659950.9999999814</v>
      </c>
    </row>
    <row r="10" spans="1:7" x14ac:dyDescent="0.35">
      <c r="A10" s="20" t="s">
        <v>13</v>
      </c>
      <c r="B10" s="18"/>
      <c r="C10" s="18"/>
      <c r="D10" s="18"/>
    </row>
    <row r="11" spans="1:7" x14ac:dyDescent="0.35">
      <c r="A11" s="21" t="s">
        <v>14</v>
      </c>
      <c r="B11" s="22">
        <v>2</v>
      </c>
      <c r="C11" s="23">
        <f>Notes!B27</f>
        <v>48832971</v>
      </c>
      <c r="D11" s="23">
        <f>Notes!C27</f>
        <v>46835142</v>
      </c>
    </row>
    <row r="12" spans="1:7" x14ac:dyDescent="0.35">
      <c r="A12" s="21" t="s">
        <v>15</v>
      </c>
      <c r="B12" s="22">
        <v>3</v>
      </c>
      <c r="C12" s="23">
        <f>Notes!B44</f>
        <v>11598279</v>
      </c>
      <c r="D12" s="23">
        <f>Notes!C44</f>
        <v>2847971</v>
      </c>
    </row>
    <row r="13" spans="1:7" x14ac:dyDescent="0.35">
      <c r="A13" s="20" t="s">
        <v>16</v>
      </c>
      <c r="B13" s="18"/>
      <c r="C13" s="18"/>
      <c r="D13" s="18"/>
    </row>
    <row r="14" spans="1:7" x14ac:dyDescent="0.35">
      <c r="A14" s="21" t="s">
        <v>17</v>
      </c>
      <c r="B14" s="22">
        <v>4</v>
      </c>
      <c r="C14" s="23">
        <f>Notes!B50</f>
        <v>19346532</v>
      </c>
      <c r="D14" s="23">
        <f>Notes!C50</f>
        <v>19533675</v>
      </c>
    </row>
    <row r="15" spans="1:7" x14ac:dyDescent="0.35">
      <c r="A15" s="21" t="s">
        <v>18</v>
      </c>
      <c r="B15" s="22">
        <v>5</v>
      </c>
      <c r="C15" s="23">
        <f>Notes!B56</f>
        <v>155101</v>
      </c>
      <c r="D15" s="23">
        <f>Notes!C56</f>
        <v>174780</v>
      </c>
    </row>
    <row r="16" spans="1:7" x14ac:dyDescent="0.35">
      <c r="A16" s="21" t="s">
        <v>19</v>
      </c>
      <c r="B16" s="22">
        <v>6</v>
      </c>
      <c r="C16" s="23">
        <f>Notes!B69</f>
        <v>3934874</v>
      </c>
      <c r="D16" s="23">
        <f>Notes!C69</f>
        <v>3321223</v>
      </c>
    </row>
    <row r="17" spans="1:4" x14ac:dyDescent="0.35">
      <c r="A17" s="21" t="s">
        <v>20</v>
      </c>
      <c r="B17" s="22">
        <v>7</v>
      </c>
      <c r="C17" s="23">
        <f>Notes!B76</f>
        <v>100000</v>
      </c>
      <c r="D17" s="23">
        <f>Notes!C76</f>
        <v>166092</v>
      </c>
    </row>
    <row r="18" spans="1:4" x14ac:dyDescent="0.35">
      <c r="A18" s="20" t="s">
        <v>21</v>
      </c>
      <c r="B18" s="18"/>
      <c r="C18" s="24">
        <f>C9+C11+C12+C14+C15+C16+C17</f>
        <v>86557947.000000015</v>
      </c>
      <c r="D18" s="24">
        <f>D9+D11+D12+D14+D15+D16+D17</f>
        <v>75538833.999999985</v>
      </c>
    </row>
    <row r="19" spans="1:4" x14ac:dyDescent="0.35">
      <c r="A19" s="18"/>
      <c r="B19" s="18"/>
      <c r="C19" s="18"/>
      <c r="D19" s="18"/>
    </row>
    <row r="20" spans="1:4" x14ac:dyDescent="0.35">
      <c r="A20" s="17" t="s">
        <v>22</v>
      </c>
      <c r="B20" s="18"/>
      <c r="C20" s="18"/>
      <c r="D20" s="18"/>
    </row>
    <row r="21" spans="1:4" x14ac:dyDescent="0.35">
      <c r="A21" s="20" t="s">
        <v>23</v>
      </c>
      <c r="B21" s="18"/>
      <c r="C21" s="18"/>
      <c r="D21" s="18"/>
    </row>
    <row r="22" spans="1:4" x14ac:dyDescent="0.35">
      <c r="A22" s="21" t="s">
        <v>24</v>
      </c>
      <c r="B22" s="22">
        <v>8</v>
      </c>
      <c r="C22" s="23">
        <f>Notes!B86</f>
        <v>4842280</v>
      </c>
      <c r="D22" s="23">
        <f>Notes!C86</f>
        <v>4619487</v>
      </c>
    </row>
    <row r="23" spans="1:4" x14ac:dyDescent="0.35">
      <c r="A23" s="21" t="s">
        <v>25</v>
      </c>
      <c r="B23" s="22">
        <v>10</v>
      </c>
      <c r="C23" s="23">
        <f>Notes!B98</f>
        <v>49766550</v>
      </c>
      <c r="D23" s="23">
        <f>Notes!C98</f>
        <v>43674985</v>
      </c>
    </row>
    <row r="24" spans="1:4" x14ac:dyDescent="0.35">
      <c r="A24" s="21" t="s">
        <v>26</v>
      </c>
      <c r="B24" s="22">
        <v>9</v>
      </c>
      <c r="C24" s="23">
        <f>Notes!B92</f>
        <v>740211</v>
      </c>
      <c r="D24" s="23">
        <f>Notes!C92</f>
        <v>621384</v>
      </c>
    </row>
    <row r="25" spans="1:4" x14ac:dyDescent="0.35">
      <c r="A25" s="20" t="s">
        <v>27</v>
      </c>
      <c r="B25" s="18"/>
      <c r="C25" s="18"/>
      <c r="D25" s="18"/>
    </row>
    <row r="26" spans="1:4" x14ac:dyDescent="0.35">
      <c r="A26" s="21" t="s">
        <v>28</v>
      </c>
      <c r="B26" s="22">
        <v>11</v>
      </c>
      <c r="C26" s="23">
        <f>Notes!B109</f>
        <v>15114117</v>
      </c>
      <c r="D26" s="23">
        <f>Notes!C109</f>
        <v>15989062</v>
      </c>
    </row>
    <row r="27" spans="1:4" x14ac:dyDescent="0.35">
      <c r="A27" s="21" t="s">
        <v>29</v>
      </c>
      <c r="B27" s="22">
        <v>12</v>
      </c>
      <c r="C27" s="23">
        <f>Notes!B116</f>
        <v>8718676</v>
      </c>
      <c r="D27" s="23">
        <f>Notes!C116</f>
        <v>1984859</v>
      </c>
    </row>
    <row r="28" spans="1:4" x14ac:dyDescent="0.35">
      <c r="A28" s="21" t="s">
        <v>30</v>
      </c>
      <c r="B28" s="22">
        <v>13</v>
      </c>
      <c r="C28" s="23">
        <f>Notes!B125</f>
        <v>2116027</v>
      </c>
      <c r="D28" s="23">
        <f>Notes!C125</f>
        <v>2584144</v>
      </c>
    </row>
    <row r="29" spans="1:4" x14ac:dyDescent="0.35">
      <c r="A29" s="21" t="s">
        <v>31</v>
      </c>
      <c r="B29" s="22">
        <v>14</v>
      </c>
      <c r="C29" s="23">
        <f>Notes!B136</f>
        <v>870302</v>
      </c>
      <c r="D29" s="23">
        <f>Notes!C136</f>
        <v>2822046</v>
      </c>
    </row>
    <row r="30" spans="1:4" x14ac:dyDescent="0.35">
      <c r="A30" s="21" t="s">
        <v>32</v>
      </c>
      <c r="B30" s="22">
        <v>15</v>
      </c>
      <c r="C30" s="23">
        <f>Notes!B143</f>
        <v>4389784</v>
      </c>
      <c r="D30" s="23">
        <f>Notes!C143</f>
        <v>3242867</v>
      </c>
    </row>
    <row r="31" spans="1:4" x14ac:dyDescent="0.35">
      <c r="A31" s="25" t="s">
        <v>21</v>
      </c>
      <c r="C31" s="24">
        <f>C22+C23+C24+C26+C27+C28+C29+C30</f>
        <v>86557947</v>
      </c>
      <c r="D31" s="24">
        <f>D22+D23+D24+D26+D27+D28+D29+D30</f>
        <v>75538834</v>
      </c>
    </row>
    <row r="33" spans="1:4" ht="25.5" customHeight="1" x14ac:dyDescent="0.35">
      <c r="A33" s="10" t="s">
        <v>33</v>
      </c>
      <c r="B33" s="10"/>
      <c r="C33" s="10"/>
      <c r="D33" s="10"/>
    </row>
    <row r="36" spans="1:4" x14ac:dyDescent="0.35">
      <c r="A36" s="26" t="s">
        <v>34</v>
      </c>
      <c r="C36" s="26" t="s">
        <v>35</v>
      </c>
    </row>
    <row r="37" spans="1:4" x14ac:dyDescent="0.35">
      <c r="A37" s="25" t="s">
        <v>36</v>
      </c>
      <c r="C37" s="25" t="s">
        <v>0</v>
      </c>
    </row>
    <row r="38" spans="1:4" x14ac:dyDescent="0.35">
      <c r="A38" s="25" t="s">
        <v>37</v>
      </c>
    </row>
    <row r="39" spans="1:4" x14ac:dyDescent="0.35">
      <c r="A39" s="27" t="s">
        <v>38</v>
      </c>
    </row>
    <row r="45" spans="1:4" x14ac:dyDescent="0.35">
      <c r="A45" s="25" t="s">
        <v>39</v>
      </c>
    </row>
    <row r="46" spans="1:4" x14ac:dyDescent="0.35">
      <c r="A46" s="27" t="s">
        <v>40</v>
      </c>
      <c r="C46" s="25" t="s">
        <v>41</v>
      </c>
    </row>
    <row r="47" spans="1:4" x14ac:dyDescent="0.35">
      <c r="A47" s="27" t="s">
        <v>42</v>
      </c>
      <c r="C47" s="27" t="s">
        <v>43</v>
      </c>
    </row>
    <row r="48" spans="1:4" x14ac:dyDescent="0.35">
      <c r="A48" s="27" t="s">
        <v>44</v>
      </c>
    </row>
    <row r="49" spans="1:1" x14ac:dyDescent="0.35">
      <c r="A49" s="27" t="s">
        <v>45</v>
      </c>
    </row>
    <row r="50" spans="1:1" x14ac:dyDescent="0.35">
      <c r="A50" s="27" t="s">
        <v>46</v>
      </c>
    </row>
  </sheetData>
  <mergeCells count="5">
    <mergeCell ref="A1:D1"/>
    <mergeCell ref="A2:D2"/>
    <mergeCell ref="A3:D3"/>
    <mergeCell ref="A4:D4"/>
    <mergeCell ref="A33:D33"/>
  </mergeCells>
  <pageMargins left="0.5" right="0.5" top="0.5" bottom="0.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2"/>
  <sheetViews>
    <sheetView showGridLines="0" topLeftCell="A21" zoomScaleNormal="100" workbookViewId="0">
      <selection sqref="A1:D1"/>
    </sheetView>
  </sheetViews>
  <sheetFormatPr defaultColWidth="8.6328125" defaultRowHeight="14.5" x14ac:dyDescent="0.35"/>
  <cols>
    <col min="1" max="1" width="55" customWidth="1"/>
    <col min="2" max="2" width="9" customWidth="1"/>
    <col min="3" max="4" width="20" customWidth="1"/>
  </cols>
  <sheetData>
    <row r="1" spans="1:4" ht="17.399999999999999" customHeight="1" x14ac:dyDescent="0.35">
      <c r="A1" s="14" t="s">
        <v>0</v>
      </c>
      <c r="B1" s="14"/>
      <c r="C1" s="14"/>
      <c r="D1" s="14"/>
    </row>
    <row r="2" spans="1:4" ht="15" customHeight="1" x14ac:dyDescent="0.35">
      <c r="A2" s="13" t="s">
        <v>1</v>
      </c>
      <c r="B2" s="13"/>
      <c r="C2" s="13"/>
      <c r="D2" s="13"/>
    </row>
    <row r="3" spans="1:4" ht="15" customHeight="1" x14ac:dyDescent="0.35">
      <c r="A3" s="12" t="s">
        <v>2</v>
      </c>
      <c r="B3" s="12"/>
      <c r="C3" s="12"/>
      <c r="D3" s="12"/>
    </row>
    <row r="4" spans="1:4" ht="19.5" customHeight="1" x14ac:dyDescent="0.35">
      <c r="A4" s="11" t="s">
        <v>47</v>
      </c>
      <c r="B4" s="11"/>
      <c r="C4" s="11"/>
      <c r="D4" s="11"/>
    </row>
    <row r="5" spans="1:4" x14ac:dyDescent="0.35">
      <c r="D5" s="15" t="s">
        <v>4</v>
      </c>
    </row>
    <row r="6" spans="1:4" ht="30" customHeight="1" x14ac:dyDescent="0.35">
      <c r="A6" s="16" t="s">
        <v>5</v>
      </c>
      <c r="B6" s="16" t="s">
        <v>6</v>
      </c>
      <c r="C6" s="16" t="s">
        <v>48</v>
      </c>
      <c r="D6" s="16" t="s">
        <v>49</v>
      </c>
    </row>
    <row r="7" spans="1:4" x14ac:dyDescent="0.35">
      <c r="A7" s="21" t="s">
        <v>50</v>
      </c>
      <c r="B7" s="22">
        <v>16</v>
      </c>
      <c r="C7" s="28">
        <f>Notes!B150</f>
        <v>135125703.62</v>
      </c>
      <c r="D7" s="28">
        <f>Notes!C150</f>
        <v>162201834.11000001</v>
      </c>
    </row>
    <row r="8" spans="1:4" x14ac:dyDescent="0.35">
      <c r="A8" s="21" t="s">
        <v>51</v>
      </c>
      <c r="B8" s="22">
        <v>17</v>
      </c>
      <c r="C8" s="28">
        <f>Notes!B164</f>
        <v>4326221</v>
      </c>
      <c r="D8" s="28">
        <f>Notes!C164</f>
        <v>5179517.38</v>
      </c>
    </row>
    <row r="9" spans="1:4" x14ac:dyDescent="0.35">
      <c r="A9" s="20" t="s">
        <v>52</v>
      </c>
      <c r="B9" s="18"/>
      <c r="C9" s="29">
        <f>C7+C8</f>
        <v>139451924.62</v>
      </c>
      <c r="D9" s="29">
        <f>D7+D8</f>
        <v>167381351.49000001</v>
      </c>
    </row>
    <row r="10" spans="1:4" x14ac:dyDescent="0.35">
      <c r="A10" s="18"/>
      <c r="B10" s="18"/>
      <c r="C10" s="18"/>
      <c r="D10" s="18"/>
    </row>
    <row r="11" spans="1:4" x14ac:dyDescent="0.35">
      <c r="A11" s="20" t="s">
        <v>53</v>
      </c>
      <c r="B11" s="18"/>
      <c r="C11" s="18"/>
      <c r="D11" s="18"/>
    </row>
    <row r="12" spans="1:4" x14ac:dyDescent="0.35">
      <c r="A12" s="21" t="s">
        <v>54</v>
      </c>
      <c r="B12" s="22">
        <v>18</v>
      </c>
      <c r="C12" s="28">
        <f>Notes!B170</f>
        <v>128361664</v>
      </c>
      <c r="D12" s="28">
        <f>Notes!C170</f>
        <v>162799375</v>
      </c>
    </row>
    <row r="13" spans="1:4" x14ac:dyDescent="0.35">
      <c r="A13" s="21" t="s">
        <v>55</v>
      </c>
      <c r="B13" s="22">
        <v>19</v>
      </c>
      <c r="C13" s="28">
        <f>Notes!B177</f>
        <v>874945.52000000142</v>
      </c>
      <c r="D13" s="28">
        <f>Notes!C177</f>
        <v>-3971236.8500000015</v>
      </c>
    </row>
    <row r="14" spans="1:4" x14ac:dyDescent="0.35">
      <c r="A14" s="21" t="s">
        <v>56</v>
      </c>
      <c r="B14" s="22">
        <v>20</v>
      </c>
      <c r="C14" s="28">
        <f>Notes!B183</f>
        <v>142712</v>
      </c>
      <c r="D14" s="28">
        <f>Notes!C183</f>
        <v>204399.24</v>
      </c>
    </row>
    <row r="15" spans="1:4" x14ac:dyDescent="0.35">
      <c r="A15" s="21" t="s">
        <v>57</v>
      </c>
      <c r="B15" s="22">
        <v>21</v>
      </c>
      <c r="C15" s="28">
        <f>Notes!B190</f>
        <v>2735863</v>
      </c>
      <c r="D15" s="28">
        <f>Notes!C190</f>
        <v>2540800</v>
      </c>
    </row>
    <row r="16" spans="1:4" x14ac:dyDescent="0.35">
      <c r="A16" s="21" t="s">
        <v>58</v>
      </c>
      <c r="B16" s="22">
        <v>22</v>
      </c>
      <c r="C16" s="28">
        <f>Notes!B199</f>
        <v>2910532.21</v>
      </c>
      <c r="D16" s="28">
        <f>Notes!C199</f>
        <v>1836152.22</v>
      </c>
    </row>
    <row r="17" spans="1:4" x14ac:dyDescent="0.35">
      <c r="A17" s="21" t="s">
        <v>59</v>
      </c>
      <c r="B17" s="22">
        <v>23</v>
      </c>
      <c r="C17" s="28">
        <f>Notes!B205</f>
        <v>778873</v>
      </c>
      <c r="D17" s="28">
        <f>Notes!C205</f>
        <v>665014</v>
      </c>
    </row>
    <row r="18" spans="1:4" x14ac:dyDescent="0.35">
      <c r="A18" s="21" t="s">
        <v>60</v>
      </c>
      <c r="B18" s="22">
        <v>24</v>
      </c>
      <c r="C18" s="28">
        <f>Notes!B220</f>
        <v>2019258.2500000002</v>
      </c>
      <c r="D18" s="28">
        <f>Notes!C220</f>
        <v>1769493.83</v>
      </c>
    </row>
    <row r="19" spans="1:4" x14ac:dyDescent="0.35">
      <c r="A19" s="20" t="s">
        <v>61</v>
      </c>
      <c r="B19" s="18"/>
      <c r="C19" s="29">
        <f>SUM(C12:C18)</f>
        <v>137823847.97999999</v>
      </c>
      <c r="D19" s="29">
        <f>SUM(D12:D18)</f>
        <v>165843997.44000003</v>
      </c>
    </row>
    <row r="20" spans="1:4" x14ac:dyDescent="0.35">
      <c r="A20" s="18"/>
      <c r="B20" s="18"/>
      <c r="C20" s="18"/>
      <c r="D20" s="18"/>
    </row>
    <row r="21" spans="1:4" x14ac:dyDescent="0.35">
      <c r="A21" s="20" t="s">
        <v>62</v>
      </c>
      <c r="B21" s="18"/>
      <c r="C21" s="30">
        <f>C9-C19</f>
        <v>1628076.6400000155</v>
      </c>
      <c r="D21" s="30">
        <f>D9-D19</f>
        <v>1537354.0499999821</v>
      </c>
    </row>
    <row r="22" spans="1:4" x14ac:dyDescent="0.35">
      <c r="A22" s="21" t="s">
        <v>63</v>
      </c>
      <c r="B22" s="22">
        <v>25</v>
      </c>
      <c r="C22" s="28">
        <f>Notes!B226</f>
        <v>100000</v>
      </c>
      <c r="D22" s="28">
        <f>Notes!C226</f>
        <v>166092</v>
      </c>
    </row>
    <row r="23" spans="1:4" x14ac:dyDescent="0.35">
      <c r="A23" s="25" t="s">
        <v>64</v>
      </c>
      <c r="C23" s="31">
        <f>C21-C22</f>
        <v>1528076.6400000155</v>
      </c>
      <c r="D23" s="31">
        <f>D21-D22</f>
        <v>1371262.0499999821</v>
      </c>
    </row>
    <row r="25" spans="1:4" ht="25.5" customHeight="1" x14ac:dyDescent="0.35">
      <c r="A25" s="10" t="s">
        <v>33</v>
      </c>
      <c r="B25" s="10"/>
      <c r="C25" s="10"/>
      <c r="D25" s="10"/>
    </row>
    <row r="28" spans="1:4" x14ac:dyDescent="0.35">
      <c r="A28" s="26" t="s">
        <v>34</v>
      </c>
      <c r="C28" s="26" t="s">
        <v>35</v>
      </c>
    </row>
    <row r="29" spans="1:4" x14ac:dyDescent="0.35">
      <c r="A29" s="25" t="s">
        <v>36</v>
      </c>
      <c r="C29" s="25" t="s">
        <v>0</v>
      </c>
    </row>
    <row r="30" spans="1:4" x14ac:dyDescent="0.35">
      <c r="A30" s="25" t="s">
        <v>37</v>
      </c>
    </row>
    <row r="31" spans="1:4" x14ac:dyDescent="0.35">
      <c r="A31" s="27" t="s">
        <v>38</v>
      </c>
    </row>
    <row r="37" spans="1:3" x14ac:dyDescent="0.35">
      <c r="A37" s="25" t="s">
        <v>39</v>
      </c>
    </row>
    <row r="38" spans="1:3" x14ac:dyDescent="0.35">
      <c r="A38" s="27" t="s">
        <v>40</v>
      </c>
      <c r="C38" s="25" t="s">
        <v>41</v>
      </c>
    </row>
    <row r="39" spans="1:3" x14ac:dyDescent="0.35">
      <c r="A39" s="27" t="s">
        <v>42</v>
      </c>
      <c r="C39" s="27" t="s">
        <v>43</v>
      </c>
    </row>
    <row r="40" spans="1:3" x14ac:dyDescent="0.35">
      <c r="A40" s="27" t="s">
        <v>44</v>
      </c>
    </row>
    <row r="41" spans="1:3" x14ac:dyDescent="0.35">
      <c r="A41" s="27" t="s">
        <v>45</v>
      </c>
    </row>
    <row r="42" spans="1:3" x14ac:dyDescent="0.35">
      <c r="A42" s="27" t="s">
        <v>46</v>
      </c>
    </row>
  </sheetData>
  <mergeCells count="5">
    <mergeCell ref="A1:D1"/>
    <mergeCell ref="A2:D2"/>
    <mergeCell ref="A3:D3"/>
    <mergeCell ref="A4:D4"/>
    <mergeCell ref="A25:D25"/>
  </mergeCells>
  <pageMargins left="0.5" right="0.5" top="0.5" bottom="0.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54"/>
  <sheetViews>
    <sheetView showGridLines="0" topLeftCell="A237" zoomScaleNormal="100" workbookViewId="0">
      <selection sqref="A1:C1"/>
    </sheetView>
  </sheetViews>
  <sheetFormatPr defaultColWidth="8.6328125" defaultRowHeight="14.5" x14ac:dyDescent="0.35"/>
  <cols>
    <col min="1" max="1" width="62" customWidth="1"/>
    <col min="2" max="3" width="20" customWidth="1"/>
  </cols>
  <sheetData>
    <row r="1" spans="1:3" ht="17.399999999999999" customHeight="1" x14ac:dyDescent="0.35">
      <c r="A1" s="14" t="s">
        <v>0</v>
      </c>
      <c r="B1" s="14"/>
      <c r="C1" s="14"/>
    </row>
    <row r="2" spans="1:3" ht="15" customHeight="1" x14ac:dyDescent="0.35">
      <c r="A2" s="13" t="s">
        <v>1</v>
      </c>
      <c r="B2" s="13"/>
      <c r="C2" s="13"/>
    </row>
    <row r="3" spans="1:3" ht="15" customHeight="1" x14ac:dyDescent="0.35">
      <c r="A3" s="12" t="s">
        <v>2</v>
      </c>
      <c r="B3" s="12"/>
      <c r="C3" s="12"/>
    </row>
    <row r="4" spans="1:3" ht="19.5" customHeight="1" x14ac:dyDescent="0.35">
      <c r="A4" s="11" t="s">
        <v>65</v>
      </c>
      <c r="B4" s="11"/>
      <c r="C4" s="11"/>
    </row>
    <row r="5" spans="1:3" x14ac:dyDescent="0.35">
      <c r="C5" s="15" t="s">
        <v>4</v>
      </c>
    </row>
    <row r="6" spans="1:3" x14ac:dyDescent="0.35">
      <c r="A6" s="32" t="s">
        <v>66</v>
      </c>
    </row>
    <row r="7" spans="1:3" ht="30" customHeight="1" x14ac:dyDescent="0.35">
      <c r="A7" s="16" t="s">
        <v>5</v>
      </c>
      <c r="B7" s="16" t="s">
        <v>67</v>
      </c>
      <c r="C7" s="16" t="s">
        <v>68</v>
      </c>
    </row>
    <row r="8" spans="1:3" x14ac:dyDescent="0.35">
      <c r="A8" s="21" t="s">
        <v>69</v>
      </c>
      <c r="B8" s="28">
        <v>2659951</v>
      </c>
      <c r="C8" s="28">
        <v>1287164.94</v>
      </c>
    </row>
    <row r="9" spans="1:3" x14ac:dyDescent="0.35">
      <c r="A9" s="21" t="s">
        <v>70</v>
      </c>
      <c r="B9" s="28">
        <v>0</v>
      </c>
      <c r="C9" s="28">
        <v>4580904</v>
      </c>
    </row>
    <row r="10" spans="1:3" x14ac:dyDescent="0.35">
      <c r="A10" s="21" t="s">
        <v>71</v>
      </c>
      <c r="B10" s="33">
        <f>'Profit &amp; Loss'!C23</f>
        <v>1528076.6400000155</v>
      </c>
      <c r="C10" s="33">
        <f>'Profit &amp; Loss'!D23</f>
        <v>1371262.0499999821</v>
      </c>
    </row>
    <row r="11" spans="1:3" x14ac:dyDescent="0.35">
      <c r="A11" s="21" t="s">
        <v>72</v>
      </c>
      <c r="B11" s="28">
        <v>1597838</v>
      </c>
      <c r="C11" s="28">
        <v>4579380.32</v>
      </c>
    </row>
    <row r="12" spans="1:3" x14ac:dyDescent="0.35">
      <c r="A12" s="21" t="s">
        <v>73</v>
      </c>
      <c r="B12" s="28">
        <v>0.36</v>
      </c>
      <c r="C12" s="28">
        <v>0.33</v>
      </c>
    </row>
    <row r="13" spans="1:3" x14ac:dyDescent="0.35">
      <c r="A13" s="34" t="s">
        <v>74</v>
      </c>
      <c r="B13" s="24">
        <f>B8+B9+B10-B11+B12</f>
        <v>2590190.0000000154</v>
      </c>
      <c r="C13" s="24">
        <f>C8+C9+C10-C11+C12</f>
        <v>2659950.9999999814</v>
      </c>
    </row>
    <row r="14" spans="1:3" ht="25.5" customHeight="1" x14ac:dyDescent="0.35">
      <c r="A14" s="9" t="s">
        <v>75</v>
      </c>
      <c r="B14" s="9"/>
      <c r="C14" s="9"/>
    </row>
    <row r="17" spans="1:3" x14ac:dyDescent="0.35">
      <c r="A17" s="32" t="s">
        <v>76</v>
      </c>
    </row>
    <row r="18" spans="1:3" ht="30" customHeight="1" x14ac:dyDescent="0.35">
      <c r="A18" s="16" t="s">
        <v>5</v>
      </c>
      <c r="B18" s="16" t="s">
        <v>7</v>
      </c>
      <c r="C18" s="16" t="s">
        <v>8</v>
      </c>
    </row>
    <row r="19" spans="1:3" x14ac:dyDescent="0.35">
      <c r="A19" s="21" t="s">
        <v>77</v>
      </c>
      <c r="B19" s="23">
        <v>11437844</v>
      </c>
      <c r="C19" s="23">
        <v>0</v>
      </c>
    </row>
    <row r="20" spans="1:3" x14ac:dyDescent="0.35">
      <c r="A20" s="21" t="s">
        <v>78</v>
      </c>
      <c r="B20" s="23">
        <v>0</v>
      </c>
      <c r="C20" s="23">
        <v>11095269</v>
      </c>
    </row>
    <row r="21" spans="1:3" x14ac:dyDescent="0.35">
      <c r="A21" s="21" t="s">
        <v>79</v>
      </c>
      <c r="B21" s="23">
        <v>651480</v>
      </c>
      <c r="C21" s="23">
        <v>769835</v>
      </c>
    </row>
    <row r="22" spans="1:3" x14ac:dyDescent="0.35">
      <c r="A22" s="21" t="s">
        <v>80</v>
      </c>
      <c r="B22" s="23">
        <v>651480</v>
      </c>
      <c r="C22" s="23">
        <v>769835</v>
      </c>
    </row>
    <row r="23" spans="1:3" x14ac:dyDescent="0.35">
      <c r="A23" s="21" t="s">
        <v>81</v>
      </c>
      <c r="B23" s="23">
        <v>651480</v>
      </c>
      <c r="C23" s="23">
        <v>769835</v>
      </c>
    </row>
    <row r="24" spans="1:3" x14ac:dyDescent="0.35">
      <c r="A24" s="21" t="s">
        <v>82</v>
      </c>
      <c r="B24" s="23">
        <v>37765</v>
      </c>
      <c r="C24" s="23">
        <v>473938</v>
      </c>
    </row>
    <row r="25" spans="1:3" x14ac:dyDescent="0.35">
      <c r="A25" s="21" t="s">
        <v>83</v>
      </c>
      <c r="B25" s="23">
        <v>6897966</v>
      </c>
      <c r="C25" s="23">
        <v>3522857</v>
      </c>
    </row>
    <row r="26" spans="1:3" x14ac:dyDescent="0.35">
      <c r="A26" s="21" t="s">
        <v>84</v>
      </c>
      <c r="B26" s="23">
        <v>28504956</v>
      </c>
      <c r="C26" s="23">
        <v>29433573</v>
      </c>
    </row>
    <row r="27" spans="1:3" x14ac:dyDescent="0.35">
      <c r="A27" s="34" t="s">
        <v>85</v>
      </c>
      <c r="B27" s="24">
        <f>SUM(B19,B20,B21,B22,B23,B24,B25,B26)</f>
        <v>48832971</v>
      </c>
      <c r="C27" s="24">
        <f>SUM(C19,C20,C21,C22,C23,C24,C25,C26)</f>
        <v>46835142</v>
      </c>
    </row>
    <row r="30" spans="1:3" x14ac:dyDescent="0.35">
      <c r="A30" s="32" t="s">
        <v>86</v>
      </c>
    </row>
    <row r="31" spans="1:3" ht="30" customHeight="1" x14ac:dyDescent="0.35">
      <c r="A31" s="16" t="s">
        <v>5</v>
      </c>
      <c r="B31" s="16" t="s">
        <v>7</v>
      </c>
      <c r="C31" s="16" t="s">
        <v>8</v>
      </c>
    </row>
    <row r="32" spans="1:3" x14ac:dyDescent="0.35">
      <c r="A32" s="20" t="s">
        <v>87</v>
      </c>
      <c r="B32" s="18"/>
      <c r="C32" s="18"/>
    </row>
    <row r="33" spans="1:3" x14ac:dyDescent="0.35">
      <c r="A33" s="21" t="s">
        <v>88</v>
      </c>
      <c r="B33" s="23">
        <v>3875890</v>
      </c>
      <c r="C33" s="23">
        <v>0</v>
      </c>
    </row>
    <row r="34" spans="1:3" x14ac:dyDescent="0.35">
      <c r="A34" s="21" t="s">
        <v>89</v>
      </c>
      <c r="B34" s="23">
        <v>2708364</v>
      </c>
      <c r="C34" s="23">
        <v>0</v>
      </c>
    </row>
    <row r="35" spans="1:3" x14ac:dyDescent="0.35">
      <c r="A35" s="21" t="s">
        <v>90</v>
      </c>
      <c r="B35" s="23">
        <v>2700074</v>
      </c>
      <c r="C35" s="23">
        <v>0</v>
      </c>
    </row>
    <row r="36" spans="1:3" x14ac:dyDescent="0.35">
      <c r="A36" s="20" t="s">
        <v>91</v>
      </c>
      <c r="B36" s="18"/>
      <c r="C36" s="18"/>
    </row>
    <row r="37" spans="1:3" x14ac:dyDescent="0.35">
      <c r="A37" s="21" t="s">
        <v>92</v>
      </c>
      <c r="B37" s="23">
        <v>710059</v>
      </c>
      <c r="C37" s="23">
        <v>454538</v>
      </c>
    </row>
    <row r="38" spans="1:3" x14ac:dyDescent="0.35">
      <c r="A38" s="21" t="s">
        <v>93</v>
      </c>
      <c r="B38" s="23">
        <v>1403892</v>
      </c>
      <c r="C38" s="23">
        <v>474993</v>
      </c>
    </row>
    <row r="39" spans="1:3" x14ac:dyDescent="0.35">
      <c r="A39" s="21" t="s">
        <v>94</v>
      </c>
      <c r="B39" s="23">
        <v>200000</v>
      </c>
      <c r="C39" s="23">
        <v>200000</v>
      </c>
    </row>
    <row r="40" spans="1:3" x14ac:dyDescent="0.35">
      <c r="A40" s="21" t="s">
        <v>95</v>
      </c>
      <c r="B40" s="23">
        <v>0</v>
      </c>
      <c r="C40" s="23">
        <v>246000</v>
      </c>
    </row>
    <row r="41" spans="1:3" x14ac:dyDescent="0.35">
      <c r="A41" s="21" t="s">
        <v>96</v>
      </c>
      <c r="B41" s="23">
        <v>0</v>
      </c>
      <c r="C41" s="23">
        <v>256000</v>
      </c>
    </row>
    <row r="42" spans="1:3" x14ac:dyDescent="0.35">
      <c r="A42" s="21" t="s">
        <v>97</v>
      </c>
      <c r="B42" s="23">
        <v>0</v>
      </c>
      <c r="C42" s="23">
        <v>836440</v>
      </c>
    </row>
    <row r="43" spans="1:3" x14ac:dyDescent="0.35">
      <c r="A43" s="21" t="s">
        <v>98</v>
      </c>
      <c r="B43" s="23">
        <v>0</v>
      </c>
      <c r="C43" s="23">
        <v>380000</v>
      </c>
    </row>
    <row r="44" spans="1:3" x14ac:dyDescent="0.35">
      <c r="A44" s="34" t="s">
        <v>85</v>
      </c>
      <c r="B44" s="24">
        <f>SUM(B33,B34,B35,B37,B38,B39,B40,B41,B42,B43)</f>
        <v>11598279</v>
      </c>
      <c r="C44" s="24">
        <f>SUM(C33,C34,C35,C37,C38,C39,C40,C41,C42,C43)</f>
        <v>2847971</v>
      </c>
    </row>
    <row r="47" spans="1:3" x14ac:dyDescent="0.35">
      <c r="A47" s="32" t="s">
        <v>99</v>
      </c>
    </row>
    <row r="48" spans="1:3" ht="30" customHeight="1" x14ac:dyDescent="0.35">
      <c r="A48" s="16" t="s">
        <v>5</v>
      </c>
      <c r="B48" s="16" t="s">
        <v>7</v>
      </c>
      <c r="C48" s="16" t="s">
        <v>8</v>
      </c>
    </row>
    <row r="49" spans="1:3" x14ac:dyDescent="0.35">
      <c r="A49" s="21" t="s">
        <v>100</v>
      </c>
      <c r="B49" s="23">
        <v>19346532</v>
      </c>
      <c r="C49" s="23">
        <v>19533675</v>
      </c>
    </row>
    <row r="50" spans="1:3" x14ac:dyDescent="0.35">
      <c r="A50" s="34" t="s">
        <v>85</v>
      </c>
      <c r="B50" s="24">
        <f>SUM(B49)</f>
        <v>19346532</v>
      </c>
      <c r="C50" s="24">
        <f>SUM(C49)</f>
        <v>19533675</v>
      </c>
    </row>
    <row r="53" spans="1:3" x14ac:dyDescent="0.35">
      <c r="A53" s="32" t="s">
        <v>101</v>
      </c>
    </row>
    <row r="54" spans="1:3" ht="30" customHeight="1" x14ac:dyDescent="0.35">
      <c r="A54" s="16" t="s">
        <v>5</v>
      </c>
      <c r="B54" s="16" t="s">
        <v>7</v>
      </c>
      <c r="C54" s="16" t="s">
        <v>8</v>
      </c>
    </row>
    <row r="55" spans="1:3" x14ac:dyDescent="0.35">
      <c r="A55" s="21" t="s">
        <v>102</v>
      </c>
      <c r="B55" s="23">
        <v>155101</v>
      </c>
      <c r="C55" s="23">
        <v>174780</v>
      </c>
    </row>
    <row r="56" spans="1:3" x14ac:dyDescent="0.35">
      <c r="A56" s="34" t="s">
        <v>85</v>
      </c>
      <c r="B56" s="24">
        <f>SUM(B55)</f>
        <v>155101</v>
      </c>
      <c r="C56" s="24">
        <f>SUM(C55)</f>
        <v>174780</v>
      </c>
    </row>
    <row r="59" spans="1:3" x14ac:dyDescent="0.35">
      <c r="A59" s="32" t="s">
        <v>103</v>
      </c>
    </row>
    <row r="60" spans="1:3" ht="30" customHeight="1" x14ac:dyDescent="0.35">
      <c r="A60" s="16" t="s">
        <v>5</v>
      </c>
      <c r="B60" s="16" t="s">
        <v>7</v>
      </c>
      <c r="C60" s="16" t="s">
        <v>8</v>
      </c>
    </row>
    <row r="61" spans="1:3" x14ac:dyDescent="0.35">
      <c r="A61" s="21" t="s">
        <v>104</v>
      </c>
      <c r="B61" s="23">
        <v>3526340</v>
      </c>
      <c r="C61" s="23">
        <v>1851952</v>
      </c>
    </row>
    <row r="62" spans="1:3" x14ac:dyDescent="0.35">
      <c r="A62" s="21" t="s">
        <v>105</v>
      </c>
      <c r="B62" s="23">
        <v>0</v>
      </c>
      <c r="C62" s="23">
        <v>690282</v>
      </c>
    </row>
    <row r="63" spans="1:3" x14ac:dyDescent="0.35">
      <c r="A63" s="21" t="s">
        <v>106</v>
      </c>
      <c r="B63" s="23">
        <v>22252</v>
      </c>
      <c r="C63" s="23">
        <v>18895</v>
      </c>
    </row>
    <row r="64" spans="1:3" x14ac:dyDescent="0.35">
      <c r="A64" s="21" t="s">
        <v>107</v>
      </c>
      <c r="B64" s="23">
        <v>15918</v>
      </c>
      <c r="C64" s="23">
        <v>54138</v>
      </c>
    </row>
    <row r="65" spans="1:3" x14ac:dyDescent="0.35">
      <c r="A65" s="21" t="s">
        <v>108</v>
      </c>
      <c r="B65" s="23">
        <v>213550</v>
      </c>
      <c r="C65" s="23">
        <v>218184</v>
      </c>
    </row>
    <row r="66" spans="1:3" x14ac:dyDescent="0.35">
      <c r="A66" s="21" t="s">
        <v>109</v>
      </c>
      <c r="B66" s="23">
        <v>5850</v>
      </c>
      <c r="C66" s="23">
        <v>11850</v>
      </c>
    </row>
    <row r="67" spans="1:3" x14ac:dyDescent="0.35">
      <c r="A67" s="21" t="s">
        <v>110</v>
      </c>
      <c r="B67" s="23">
        <v>30000</v>
      </c>
      <c r="C67" s="23">
        <v>25000</v>
      </c>
    </row>
    <row r="68" spans="1:3" x14ac:dyDescent="0.35">
      <c r="A68" s="21" t="s">
        <v>111</v>
      </c>
      <c r="B68" s="23">
        <v>120964</v>
      </c>
      <c r="C68" s="23">
        <v>450922</v>
      </c>
    </row>
    <row r="69" spans="1:3" x14ac:dyDescent="0.35">
      <c r="A69" s="34" t="s">
        <v>85</v>
      </c>
      <c r="B69" s="24">
        <f>SUM(B61,B62,B63,B64,B65,B66,B67,B68)</f>
        <v>3934874</v>
      </c>
      <c r="C69" s="24">
        <f>SUM(C61,C62,C63,C64,C65,C66,C67,C68)</f>
        <v>3321223</v>
      </c>
    </row>
    <row r="70" spans="1:3" ht="25.5" customHeight="1" x14ac:dyDescent="0.35">
      <c r="A70" s="9" t="s">
        <v>112</v>
      </c>
      <c r="B70" s="9"/>
      <c r="C70" s="9"/>
    </row>
    <row r="73" spans="1:3" x14ac:dyDescent="0.35">
      <c r="A73" s="32" t="s">
        <v>113</v>
      </c>
    </row>
    <row r="74" spans="1:3" ht="30" customHeight="1" x14ac:dyDescent="0.35">
      <c r="A74" s="16" t="s">
        <v>5</v>
      </c>
      <c r="B74" s="16" t="s">
        <v>7</v>
      </c>
      <c r="C74" s="16" t="s">
        <v>8</v>
      </c>
    </row>
    <row r="75" spans="1:3" x14ac:dyDescent="0.35">
      <c r="A75" s="21" t="s">
        <v>114</v>
      </c>
      <c r="B75" s="23">
        <v>100000</v>
      </c>
      <c r="C75" s="23">
        <v>166092</v>
      </c>
    </row>
    <row r="76" spans="1:3" x14ac:dyDescent="0.35">
      <c r="A76" s="34" t="s">
        <v>85</v>
      </c>
      <c r="B76" s="24">
        <f>SUM(B75)</f>
        <v>100000</v>
      </c>
      <c r="C76" s="24">
        <f>SUM(C75)</f>
        <v>166092</v>
      </c>
    </row>
    <row r="79" spans="1:3" x14ac:dyDescent="0.35">
      <c r="A79" s="32" t="s">
        <v>115</v>
      </c>
    </row>
    <row r="80" spans="1:3" ht="30" customHeight="1" x14ac:dyDescent="0.35">
      <c r="A80" s="16" t="s">
        <v>5</v>
      </c>
      <c r="B80" s="16" t="s">
        <v>7</v>
      </c>
      <c r="C80" s="16" t="s">
        <v>8</v>
      </c>
    </row>
    <row r="81" spans="1:3" x14ac:dyDescent="0.35">
      <c r="A81" s="21" t="s">
        <v>116</v>
      </c>
      <c r="B81" s="23">
        <v>2763931</v>
      </c>
      <c r="C81" s="23">
        <v>2844380</v>
      </c>
    </row>
    <row r="82" spans="1:3" x14ac:dyDescent="0.35">
      <c r="A82" s="21" t="s">
        <v>117</v>
      </c>
      <c r="B82" s="23">
        <v>1113615</v>
      </c>
      <c r="C82" s="23">
        <v>1310135</v>
      </c>
    </row>
    <row r="83" spans="1:3" x14ac:dyDescent="0.35">
      <c r="A83" s="21" t="s">
        <v>118</v>
      </c>
      <c r="B83" s="23">
        <v>49964</v>
      </c>
      <c r="C83" s="23">
        <v>55516</v>
      </c>
    </row>
    <row r="84" spans="1:3" x14ac:dyDescent="0.35">
      <c r="A84" s="21" t="s">
        <v>119</v>
      </c>
      <c r="B84" s="23">
        <v>760043</v>
      </c>
      <c r="C84" s="23">
        <v>409456</v>
      </c>
    </row>
    <row r="85" spans="1:3" x14ac:dyDescent="0.35">
      <c r="A85" s="21" t="s">
        <v>120</v>
      </c>
      <c r="B85" s="23">
        <v>154727</v>
      </c>
      <c r="C85" s="23">
        <v>0</v>
      </c>
    </row>
    <row r="86" spans="1:3" x14ac:dyDescent="0.35">
      <c r="A86" s="34" t="s">
        <v>85</v>
      </c>
      <c r="B86" s="24">
        <f>SUM(B81,B82,B83,B84,B85)</f>
        <v>4842280</v>
      </c>
      <c r="C86" s="24">
        <f>SUM(C81,C82,C83,C84,C85)</f>
        <v>4619487</v>
      </c>
    </row>
    <row r="89" spans="1:3" x14ac:dyDescent="0.35">
      <c r="A89" s="32" t="s">
        <v>121</v>
      </c>
    </row>
    <row r="90" spans="1:3" ht="30" customHeight="1" x14ac:dyDescent="0.35">
      <c r="A90" s="16" t="s">
        <v>5</v>
      </c>
      <c r="B90" s="16" t="s">
        <v>7</v>
      </c>
      <c r="C90" s="16" t="s">
        <v>8</v>
      </c>
    </row>
    <row r="91" spans="1:3" x14ac:dyDescent="0.35">
      <c r="A91" s="21" t="s">
        <v>122</v>
      </c>
      <c r="B91" s="23">
        <v>740211</v>
      </c>
      <c r="C91" s="23">
        <v>621384</v>
      </c>
    </row>
    <row r="92" spans="1:3" x14ac:dyDescent="0.35">
      <c r="A92" s="34" t="s">
        <v>85</v>
      </c>
      <c r="B92" s="24">
        <f>SUM(B91)</f>
        <v>740211</v>
      </c>
      <c r="C92" s="24">
        <f>SUM(C91)</f>
        <v>621384</v>
      </c>
    </row>
    <row r="95" spans="1:3" x14ac:dyDescent="0.35">
      <c r="A95" s="32" t="s">
        <v>123</v>
      </c>
    </row>
    <row r="96" spans="1:3" ht="30" customHeight="1" x14ac:dyDescent="0.35">
      <c r="A96" s="16" t="s">
        <v>5</v>
      </c>
      <c r="B96" s="16" t="s">
        <v>7</v>
      </c>
      <c r="C96" s="16" t="s">
        <v>8</v>
      </c>
    </row>
    <row r="97" spans="1:3" x14ac:dyDescent="0.35">
      <c r="A97" s="21" t="s">
        <v>124</v>
      </c>
      <c r="B97" s="23">
        <v>49766550</v>
      </c>
      <c r="C97" s="23">
        <v>43674985</v>
      </c>
    </row>
    <row r="98" spans="1:3" x14ac:dyDescent="0.35">
      <c r="A98" s="34" t="s">
        <v>85</v>
      </c>
      <c r="B98" s="24">
        <f>SUM(B97)</f>
        <v>49766550</v>
      </c>
      <c r="C98" s="24">
        <f>SUM(C97)</f>
        <v>43674985</v>
      </c>
    </row>
    <row r="101" spans="1:3" x14ac:dyDescent="0.35">
      <c r="A101" s="32" t="s">
        <v>125</v>
      </c>
    </row>
    <row r="102" spans="1:3" ht="30" customHeight="1" x14ac:dyDescent="0.35">
      <c r="A102" s="16" t="s">
        <v>5</v>
      </c>
      <c r="B102" s="16" t="s">
        <v>7</v>
      </c>
      <c r="C102" s="16" t="s">
        <v>8</v>
      </c>
    </row>
    <row r="103" spans="1:3" x14ac:dyDescent="0.35">
      <c r="A103" s="21" t="s">
        <v>126</v>
      </c>
      <c r="B103" s="23">
        <v>8650132</v>
      </c>
      <c r="C103" s="23">
        <v>9100179</v>
      </c>
    </row>
    <row r="104" spans="1:3" x14ac:dyDescent="0.35">
      <c r="A104" s="21" t="s">
        <v>127</v>
      </c>
      <c r="B104" s="23">
        <v>3796443</v>
      </c>
      <c r="C104" s="23">
        <v>4095650</v>
      </c>
    </row>
    <row r="105" spans="1:3" x14ac:dyDescent="0.35">
      <c r="A105" s="21" t="s">
        <v>128</v>
      </c>
      <c r="B105" s="23">
        <v>2233031</v>
      </c>
      <c r="C105" s="23">
        <v>2340024</v>
      </c>
    </row>
    <row r="106" spans="1:3" x14ac:dyDescent="0.35">
      <c r="A106" s="21" t="s">
        <v>129</v>
      </c>
      <c r="B106" s="23">
        <v>166030</v>
      </c>
      <c r="C106" s="23">
        <v>199657</v>
      </c>
    </row>
    <row r="107" spans="1:3" x14ac:dyDescent="0.35">
      <c r="A107" s="21" t="s">
        <v>130</v>
      </c>
      <c r="B107" s="23">
        <v>68029</v>
      </c>
      <c r="C107" s="23">
        <v>114505</v>
      </c>
    </row>
    <row r="108" spans="1:3" x14ac:dyDescent="0.35">
      <c r="A108" s="21" t="s">
        <v>131</v>
      </c>
      <c r="B108" s="23">
        <v>200452</v>
      </c>
      <c r="C108" s="23">
        <v>139047</v>
      </c>
    </row>
    <row r="109" spans="1:3" x14ac:dyDescent="0.35">
      <c r="A109" s="34" t="s">
        <v>85</v>
      </c>
      <c r="B109" s="24">
        <f>SUM(B103,B104,B105,B106,B107,B108)</f>
        <v>15114117</v>
      </c>
      <c r="C109" s="24">
        <f>SUM(C103,C104,C105,C106,C107,C108)</f>
        <v>15989062</v>
      </c>
    </row>
    <row r="110" spans="1:3" ht="25.5" customHeight="1" x14ac:dyDescent="0.35">
      <c r="A110" s="9" t="s">
        <v>132</v>
      </c>
      <c r="B110" s="9"/>
      <c r="C110" s="9"/>
    </row>
    <row r="113" spans="1:3" x14ac:dyDescent="0.35">
      <c r="A113" s="32" t="s">
        <v>133</v>
      </c>
    </row>
    <row r="114" spans="1:3" ht="30" customHeight="1" x14ac:dyDescent="0.35">
      <c r="A114" s="16" t="s">
        <v>5</v>
      </c>
      <c r="B114" s="16" t="s">
        <v>7</v>
      </c>
      <c r="C114" s="16" t="s">
        <v>8</v>
      </c>
    </row>
    <row r="115" spans="1:3" x14ac:dyDescent="0.35">
      <c r="A115" s="21" t="s">
        <v>134</v>
      </c>
      <c r="B115" s="23">
        <v>8718676</v>
      </c>
      <c r="C115" s="23">
        <v>1984859</v>
      </c>
    </row>
    <row r="116" spans="1:3" x14ac:dyDescent="0.35">
      <c r="A116" s="34" t="s">
        <v>85</v>
      </c>
      <c r="B116" s="24">
        <f>SUM(B115)</f>
        <v>8718676</v>
      </c>
      <c r="C116" s="24">
        <f>SUM(C115)</f>
        <v>1984859</v>
      </c>
    </row>
    <row r="119" spans="1:3" x14ac:dyDescent="0.35">
      <c r="A119" s="32" t="s">
        <v>135</v>
      </c>
    </row>
    <row r="120" spans="1:3" ht="30" customHeight="1" x14ac:dyDescent="0.35">
      <c r="A120" s="16" t="s">
        <v>5</v>
      </c>
      <c r="B120" s="16" t="s">
        <v>7</v>
      </c>
      <c r="C120" s="16" t="s">
        <v>8</v>
      </c>
    </row>
    <row r="121" spans="1:3" x14ac:dyDescent="0.35">
      <c r="A121" s="21" t="s">
        <v>136</v>
      </c>
      <c r="B121" s="23">
        <v>1931188</v>
      </c>
      <c r="C121" s="23">
        <v>2267191</v>
      </c>
    </row>
    <row r="122" spans="1:3" x14ac:dyDescent="0.35">
      <c r="A122" s="21" t="s">
        <v>137</v>
      </c>
      <c r="B122" s="23">
        <v>13041</v>
      </c>
      <c r="C122" s="23">
        <v>60378</v>
      </c>
    </row>
    <row r="123" spans="1:3" x14ac:dyDescent="0.35">
      <c r="A123" s="21" t="s">
        <v>138</v>
      </c>
      <c r="B123" s="23">
        <v>157653</v>
      </c>
      <c r="C123" s="23">
        <v>256575</v>
      </c>
    </row>
    <row r="124" spans="1:3" x14ac:dyDescent="0.35">
      <c r="A124" s="21" t="s">
        <v>139</v>
      </c>
      <c r="B124" s="23">
        <v>14145</v>
      </c>
      <c r="C124" s="23">
        <v>0</v>
      </c>
    </row>
    <row r="125" spans="1:3" x14ac:dyDescent="0.35">
      <c r="A125" s="34" t="s">
        <v>85</v>
      </c>
      <c r="B125" s="24">
        <f>SUM(B121,B122,B123,B124)</f>
        <v>2116027</v>
      </c>
      <c r="C125" s="24">
        <f>SUM(C121,C122,C123,C124)</f>
        <v>2584144</v>
      </c>
    </row>
    <row r="128" spans="1:3" x14ac:dyDescent="0.35">
      <c r="A128" s="32" t="s">
        <v>140</v>
      </c>
    </row>
    <row r="129" spans="1:3" ht="30" customHeight="1" x14ac:dyDescent="0.35">
      <c r="A129" s="16" t="s">
        <v>5</v>
      </c>
      <c r="B129" s="16" t="s">
        <v>7</v>
      </c>
      <c r="C129" s="16" t="s">
        <v>8</v>
      </c>
    </row>
    <row r="130" spans="1:3" x14ac:dyDescent="0.35">
      <c r="A130" s="21" t="s">
        <v>141</v>
      </c>
      <c r="B130" s="23">
        <v>648695</v>
      </c>
      <c r="C130" s="23">
        <v>648695</v>
      </c>
    </row>
    <row r="131" spans="1:3" x14ac:dyDescent="0.35">
      <c r="A131" s="21" t="s">
        <v>142</v>
      </c>
      <c r="B131" s="23">
        <v>51000</v>
      </c>
      <c r="C131" s="23">
        <v>51000</v>
      </c>
    </row>
    <row r="132" spans="1:3" x14ac:dyDescent="0.35">
      <c r="A132" s="21" t="s">
        <v>143</v>
      </c>
      <c r="B132" s="23">
        <v>0</v>
      </c>
      <c r="C132" s="23">
        <v>800000</v>
      </c>
    </row>
    <row r="133" spans="1:3" x14ac:dyDescent="0.35">
      <c r="A133" s="21" t="s">
        <v>144</v>
      </c>
      <c r="B133" s="23">
        <v>157500</v>
      </c>
      <c r="C133" s="23">
        <v>157500</v>
      </c>
    </row>
    <row r="134" spans="1:3" x14ac:dyDescent="0.35">
      <c r="A134" s="21" t="s">
        <v>145</v>
      </c>
      <c r="B134" s="23">
        <v>13107</v>
      </c>
      <c r="C134" s="23">
        <v>993299</v>
      </c>
    </row>
    <row r="135" spans="1:3" x14ac:dyDescent="0.35">
      <c r="A135" s="21" t="s">
        <v>146</v>
      </c>
      <c r="B135" s="23">
        <v>0</v>
      </c>
      <c r="C135" s="23">
        <v>171552</v>
      </c>
    </row>
    <row r="136" spans="1:3" x14ac:dyDescent="0.35">
      <c r="A136" s="34" t="s">
        <v>85</v>
      </c>
      <c r="B136" s="24">
        <f>SUM(B130,B131,B132,B133,B134,B135)</f>
        <v>870302</v>
      </c>
      <c r="C136" s="24">
        <f>SUM(C130,C131,C132,C133,C134,C135)</f>
        <v>2822046</v>
      </c>
    </row>
    <row r="139" spans="1:3" x14ac:dyDescent="0.35">
      <c r="A139" s="32" t="s">
        <v>147</v>
      </c>
    </row>
    <row r="140" spans="1:3" ht="30" customHeight="1" x14ac:dyDescent="0.35">
      <c r="A140" s="16" t="s">
        <v>5</v>
      </c>
      <c r="B140" s="16" t="s">
        <v>7</v>
      </c>
      <c r="C140" s="16" t="s">
        <v>8</v>
      </c>
    </row>
    <row r="141" spans="1:3" x14ac:dyDescent="0.35">
      <c r="A141" s="21" t="s">
        <v>148</v>
      </c>
      <c r="B141" s="23">
        <v>4389784</v>
      </c>
      <c r="C141" s="23">
        <v>2363736</v>
      </c>
    </row>
    <row r="142" spans="1:3" x14ac:dyDescent="0.35">
      <c r="A142" s="21" t="s">
        <v>149</v>
      </c>
      <c r="B142" s="23">
        <v>0</v>
      </c>
      <c r="C142" s="23">
        <v>879131</v>
      </c>
    </row>
    <row r="143" spans="1:3" x14ac:dyDescent="0.35">
      <c r="A143" s="34" t="s">
        <v>85</v>
      </c>
      <c r="B143" s="24">
        <f>SUM(B141,B142)</f>
        <v>4389784</v>
      </c>
      <c r="C143" s="24">
        <f>SUM(C141,C142)</f>
        <v>3242867</v>
      </c>
    </row>
    <row r="146" spans="1:3" x14ac:dyDescent="0.35">
      <c r="A146" s="32" t="s">
        <v>150</v>
      </c>
    </row>
    <row r="147" spans="1:3" ht="30" customHeight="1" x14ac:dyDescent="0.35">
      <c r="A147" s="16" t="s">
        <v>5</v>
      </c>
      <c r="B147" s="16" t="s">
        <v>48</v>
      </c>
      <c r="C147" s="16" t="s">
        <v>49</v>
      </c>
    </row>
    <row r="148" spans="1:3" x14ac:dyDescent="0.35">
      <c r="A148" s="21" t="s">
        <v>151</v>
      </c>
      <c r="B148" s="28">
        <v>132578498.62</v>
      </c>
      <c r="C148" s="28">
        <v>159532764.11000001</v>
      </c>
    </row>
    <row r="149" spans="1:3" x14ac:dyDescent="0.35">
      <c r="A149" s="21" t="s">
        <v>152</v>
      </c>
      <c r="B149" s="28">
        <v>2547205</v>
      </c>
      <c r="C149" s="28">
        <v>2669070</v>
      </c>
    </row>
    <row r="150" spans="1:3" x14ac:dyDescent="0.35">
      <c r="A150" s="34" t="s">
        <v>85</v>
      </c>
      <c r="B150" s="31">
        <f>SUM(B148,B149)</f>
        <v>135125703.62</v>
      </c>
      <c r="C150" s="31">
        <f>SUM(C148,C149)</f>
        <v>162201834.11000001</v>
      </c>
    </row>
    <row r="153" spans="1:3" x14ac:dyDescent="0.35">
      <c r="A153" s="32" t="s">
        <v>153</v>
      </c>
    </row>
    <row r="154" spans="1:3" ht="30" customHeight="1" x14ac:dyDescent="0.35">
      <c r="A154" s="16" t="s">
        <v>5</v>
      </c>
      <c r="B154" s="16" t="s">
        <v>48</v>
      </c>
      <c r="C154" s="16" t="s">
        <v>49</v>
      </c>
    </row>
    <row r="155" spans="1:3" x14ac:dyDescent="0.35">
      <c r="A155" s="21" t="s">
        <v>154</v>
      </c>
      <c r="B155" s="28">
        <v>2565167</v>
      </c>
      <c r="C155" s="28">
        <v>1354042</v>
      </c>
    </row>
    <row r="156" spans="1:3" x14ac:dyDescent="0.35">
      <c r="A156" s="21" t="s">
        <v>155</v>
      </c>
      <c r="B156" s="28">
        <v>1440000</v>
      </c>
      <c r="C156" s="28">
        <v>769730.92</v>
      </c>
    </row>
    <row r="157" spans="1:3" x14ac:dyDescent="0.35">
      <c r="A157" s="21" t="s">
        <v>156</v>
      </c>
      <c r="B157" s="28">
        <v>157878</v>
      </c>
      <c r="C157" s="28">
        <v>0</v>
      </c>
    </row>
    <row r="158" spans="1:3" x14ac:dyDescent="0.35">
      <c r="A158" s="21" t="s">
        <v>157</v>
      </c>
      <c r="B158" s="28">
        <v>16397</v>
      </c>
      <c r="C158" s="28">
        <v>13227</v>
      </c>
    </row>
    <row r="159" spans="1:3" x14ac:dyDescent="0.35">
      <c r="A159" s="21" t="s">
        <v>158</v>
      </c>
      <c r="B159" s="28">
        <v>146779</v>
      </c>
      <c r="C159" s="28">
        <v>0</v>
      </c>
    </row>
    <row r="160" spans="1:3" x14ac:dyDescent="0.35">
      <c r="A160" s="21" t="s">
        <v>159</v>
      </c>
      <c r="B160" s="28">
        <v>0</v>
      </c>
      <c r="C160" s="28">
        <v>480000</v>
      </c>
    </row>
    <row r="161" spans="1:3" x14ac:dyDescent="0.35">
      <c r="A161" s="21" t="s">
        <v>160</v>
      </c>
      <c r="B161" s="28">
        <v>0</v>
      </c>
      <c r="C161" s="28">
        <v>1711222.46</v>
      </c>
    </row>
    <row r="162" spans="1:3" x14ac:dyDescent="0.35">
      <c r="A162" s="21" t="s">
        <v>161</v>
      </c>
      <c r="B162" s="28">
        <v>0</v>
      </c>
      <c r="C162" s="28">
        <v>582615</v>
      </c>
    </row>
    <row r="163" spans="1:3" x14ac:dyDescent="0.35">
      <c r="A163" s="21" t="s">
        <v>162</v>
      </c>
      <c r="B163" s="28">
        <v>0</v>
      </c>
      <c r="C163" s="28">
        <v>268680</v>
      </c>
    </row>
    <row r="164" spans="1:3" x14ac:dyDescent="0.35">
      <c r="A164" s="34" t="s">
        <v>85</v>
      </c>
      <c r="B164" s="31">
        <f>SUM(B155,B156,B157,B158,B159,B160,B161,B162,B163)</f>
        <v>4326221</v>
      </c>
      <c r="C164" s="31">
        <f>SUM(C155,C156,C157,C158,C159,C160,C161,C162,C163)</f>
        <v>5179517.38</v>
      </c>
    </row>
    <row r="167" spans="1:3" x14ac:dyDescent="0.35">
      <c r="A167" s="32" t="s">
        <v>163</v>
      </c>
    </row>
    <row r="168" spans="1:3" ht="30" customHeight="1" x14ac:dyDescent="0.35">
      <c r="A168" s="16" t="s">
        <v>5</v>
      </c>
      <c r="B168" s="16" t="s">
        <v>48</v>
      </c>
      <c r="C168" s="16" t="s">
        <v>49</v>
      </c>
    </row>
    <row r="169" spans="1:3" x14ac:dyDescent="0.35">
      <c r="A169" s="21" t="s">
        <v>164</v>
      </c>
      <c r="B169" s="28">
        <v>128361664</v>
      </c>
      <c r="C169" s="28">
        <v>162799375</v>
      </c>
    </row>
    <row r="170" spans="1:3" x14ac:dyDescent="0.35">
      <c r="A170" s="34" t="s">
        <v>85</v>
      </c>
      <c r="B170" s="31">
        <f>SUM(B169)</f>
        <v>128361664</v>
      </c>
      <c r="C170" s="31">
        <f>SUM(C169)</f>
        <v>162799375</v>
      </c>
    </row>
    <row r="173" spans="1:3" x14ac:dyDescent="0.35">
      <c r="A173" s="32" t="s">
        <v>165</v>
      </c>
    </row>
    <row r="174" spans="1:3" ht="30" customHeight="1" x14ac:dyDescent="0.35">
      <c r="A174" s="16" t="s">
        <v>5</v>
      </c>
      <c r="B174" s="16" t="s">
        <v>48</v>
      </c>
      <c r="C174" s="16" t="s">
        <v>49</v>
      </c>
    </row>
    <row r="175" spans="1:3" x14ac:dyDescent="0.35">
      <c r="A175" s="21" t="s">
        <v>166</v>
      </c>
      <c r="B175" s="28">
        <v>15989062.390000001</v>
      </c>
      <c r="C175" s="28">
        <v>12017825.539999999</v>
      </c>
    </row>
    <row r="176" spans="1:3" x14ac:dyDescent="0.35">
      <c r="A176" s="21" t="s">
        <v>167</v>
      </c>
      <c r="B176" s="28">
        <v>15114116.869999999</v>
      </c>
      <c r="C176" s="28">
        <v>15989062.390000001</v>
      </c>
    </row>
    <row r="177" spans="1:3" x14ac:dyDescent="0.35">
      <c r="A177" s="34" t="s">
        <v>168</v>
      </c>
      <c r="B177" s="31">
        <f>B175-B176</f>
        <v>874945.52000000142</v>
      </c>
      <c r="C177" s="31">
        <f>C175-C176</f>
        <v>-3971236.8500000015</v>
      </c>
    </row>
    <row r="180" spans="1:3" x14ac:dyDescent="0.35">
      <c r="A180" s="32" t="s">
        <v>169</v>
      </c>
    </row>
    <row r="181" spans="1:3" ht="30" customHeight="1" x14ac:dyDescent="0.35">
      <c r="A181" s="16" t="s">
        <v>5</v>
      </c>
      <c r="B181" s="16" t="s">
        <v>48</v>
      </c>
      <c r="C181" s="16" t="s">
        <v>49</v>
      </c>
    </row>
    <row r="182" spans="1:3" x14ac:dyDescent="0.35">
      <c r="A182" s="21" t="s">
        <v>170</v>
      </c>
      <c r="B182" s="28">
        <v>142712</v>
      </c>
      <c r="C182" s="28">
        <v>204399.24</v>
      </c>
    </row>
    <row r="183" spans="1:3" x14ac:dyDescent="0.35">
      <c r="A183" s="34" t="s">
        <v>85</v>
      </c>
      <c r="B183" s="31">
        <f>SUM(B182)</f>
        <v>142712</v>
      </c>
      <c r="C183" s="31">
        <f>SUM(C182)</f>
        <v>204399.24</v>
      </c>
    </row>
    <row r="186" spans="1:3" x14ac:dyDescent="0.35">
      <c r="A186" s="32" t="s">
        <v>171</v>
      </c>
    </row>
    <row r="187" spans="1:3" ht="30" customHeight="1" x14ac:dyDescent="0.35">
      <c r="A187" s="16" t="s">
        <v>5</v>
      </c>
      <c r="B187" s="16" t="s">
        <v>48</v>
      </c>
      <c r="C187" s="16" t="s">
        <v>49</v>
      </c>
    </row>
    <row r="188" spans="1:3" x14ac:dyDescent="0.35">
      <c r="A188" s="21" t="s">
        <v>172</v>
      </c>
      <c r="B188" s="28">
        <v>2554800</v>
      </c>
      <c r="C188" s="28">
        <v>2540800</v>
      </c>
    </row>
    <row r="189" spans="1:3" x14ac:dyDescent="0.35">
      <c r="A189" s="21" t="s">
        <v>173</v>
      </c>
      <c r="B189" s="28">
        <v>181063</v>
      </c>
      <c r="C189" s="28">
        <v>0</v>
      </c>
    </row>
    <row r="190" spans="1:3" x14ac:dyDescent="0.35">
      <c r="A190" s="34" t="s">
        <v>85</v>
      </c>
      <c r="B190" s="31">
        <f>SUM(B188,B189)</f>
        <v>2735863</v>
      </c>
      <c r="C190" s="31">
        <f>SUM(C188,C189)</f>
        <v>2540800</v>
      </c>
    </row>
    <row r="193" spans="1:3" x14ac:dyDescent="0.35">
      <c r="A193" s="32" t="s">
        <v>174</v>
      </c>
    </row>
    <row r="194" spans="1:3" ht="30" customHeight="1" x14ac:dyDescent="0.35">
      <c r="A194" s="16" t="s">
        <v>5</v>
      </c>
      <c r="B194" s="16" t="s">
        <v>48</v>
      </c>
      <c r="C194" s="16" t="s">
        <v>49</v>
      </c>
    </row>
    <row r="195" spans="1:3" x14ac:dyDescent="0.35">
      <c r="A195" s="21" t="s">
        <v>175</v>
      </c>
      <c r="B195" s="28">
        <v>2354170.94</v>
      </c>
      <c r="C195" s="28">
        <v>1737678.22</v>
      </c>
    </row>
    <row r="196" spans="1:3" x14ac:dyDescent="0.35">
      <c r="A196" s="21" t="s">
        <v>176</v>
      </c>
      <c r="B196" s="28">
        <v>284730</v>
      </c>
      <c r="C196" s="28">
        <v>26259</v>
      </c>
    </row>
    <row r="197" spans="1:3" x14ac:dyDescent="0.35">
      <c r="A197" s="21" t="s">
        <v>177</v>
      </c>
      <c r="B197" s="28">
        <v>255610.27</v>
      </c>
      <c r="C197" s="28">
        <v>72215</v>
      </c>
    </row>
    <row r="198" spans="1:3" x14ac:dyDescent="0.35">
      <c r="A198" s="21" t="s">
        <v>178</v>
      </c>
      <c r="B198" s="28">
        <v>16021</v>
      </c>
      <c r="C198" s="28">
        <v>0</v>
      </c>
    </row>
    <row r="199" spans="1:3" x14ac:dyDescent="0.35">
      <c r="A199" s="34" t="s">
        <v>85</v>
      </c>
      <c r="B199" s="31">
        <f>SUM(B195,B196,B197,B198)</f>
        <v>2910532.21</v>
      </c>
      <c r="C199" s="31">
        <f>SUM(C195,C196,C197,C198)</f>
        <v>1836152.22</v>
      </c>
    </row>
    <row r="202" spans="1:3" x14ac:dyDescent="0.35">
      <c r="A202" s="32" t="s">
        <v>179</v>
      </c>
    </row>
    <row r="203" spans="1:3" ht="30" customHeight="1" x14ac:dyDescent="0.35">
      <c r="A203" s="16" t="s">
        <v>5</v>
      </c>
      <c r="B203" s="16" t="s">
        <v>48</v>
      </c>
      <c r="C203" s="16" t="s">
        <v>49</v>
      </c>
    </row>
    <row r="204" spans="1:3" x14ac:dyDescent="0.35">
      <c r="A204" s="21" t="s">
        <v>180</v>
      </c>
      <c r="B204" s="28">
        <v>778873</v>
      </c>
      <c r="C204" s="28">
        <v>665014</v>
      </c>
    </row>
    <row r="205" spans="1:3" x14ac:dyDescent="0.35">
      <c r="A205" s="34" t="s">
        <v>85</v>
      </c>
      <c r="B205" s="31">
        <f>SUM(B204)</f>
        <v>778873</v>
      </c>
      <c r="C205" s="31">
        <f>SUM(C204)</f>
        <v>665014</v>
      </c>
    </row>
    <row r="208" spans="1:3" x14ac:dyDescent="0.35">
      <c r="A208" s="32" t="s">
        <v>181</v>
      </c>
    </row>
    <row r="209" spans="1:3" ht="30" customHeight="1" x14ac:dyDescent="0.35">
      <c r="A209" s="16" t="s">
        <v>5</v>
      </c>
      <c r="B209" s="16" t="s">
        <v>48</v>
      </c>
      <c r="C209" s="16" t="s">
        <v>49</v>
      </c>
    </row>
    <row r="210" spans="1:3" x14ac:dyDescent="0.35">
      <c r="A210" s="21" t="s">
        <v>182</v>
      </c>
      <c r="B210" s="28">
        <v>1019288</v>
      </c>
      <c r="C210" s="28">
        <v>1019292</v>
      </c>
    </row>
    <row r="211" spans="1:3" x14ac:dyDescent="0.35">
      <c r="A211" s="21" t="s">
        <v>183</v>
      </c>
      <c r="B211" s="28">
        <v>397574.56</v>
      </c>
      <c r="C211" s="28">
        <v>413294.78</v>
      </c>
    </row>
    <row r="212" spans="1:3" x14ac:dyDescent="0.35">
      <c r="A212" s="21" t="s">
        <v>184</v>
      </c>
      <c r="B212" s="28">
        <v>260956.32</v>
      </c>
      <c r="C212" s="28">
        <v>112163.74</v>
      </c>
    </row>
    <row r="213" spans="1:3" x14ac:dyDescent="0.35">
      <c r="A213" s="21" t="s">
        <v>185</v>
      </c>
      <c r="B213" s="28">
        <v>153852.44</v>
      </c>
      <c r="C213" s="28">
        <v>14247.56</v>
      </c>
    </row>
    <row r="214" spans="1:3" x14ac:dyDescent="0.35">
      <c r="A214" s="21" t="s">
        <v>186</v>
      </c>
      <c r="B214" s="28">
        <v>78000</v>
      </c>
      <c r="C214" s="28">
        <v>88000</v>
      </c>
    </row>
    <row r="215" spans="1:3" x14ac:dyDescent="0.35">
      <c r="A215" s="21" t="s">
        <v>187</v>
      </c>
      <c r="B215" s="28">
        <v>71192.13</v>
      </c>
      <c r="C215" s="28">
        <v>69172.75</v>
      </c>
    </row>
    <row r="216" spans="1:3" x14ac:dyDescent="0.35">
      <c r="A216" s="21" t="s">
        <v>188</v>
      </c>
      <c r="B216" s="28">
        <v>30000</v>
      </c>
      <c r="C216" s="28">
        <v>25000</v>
      </c>
    </row>
    <row r="217" spans="1:3" x14ac:dyDescent="0.35">
      <c r="A217" s="21" t="s">
        <v>189</v>
      </c>
      <c r="B217" s="28">
        <v>5970</v>
      </c>
      <c r="C217" s="28">
        <v>0</v>
      </c>
    </row>
    <row r="218" spans="1:3" x14ac:dyDescent="0.35">
      <c r="A218" s="21" t="s">
        <v>190</v>
      </c>
      <c r="B218" s="28">
        <v>2424.8000000000002</v>
      </c>
      <c r="C218" s="28">
        <v>0</v>
      </c>
    </row>
    <row r="219" spans="1:3" x14ac:dyDescent="0.35">
      <c r="A219" s="21" t="s">
        <v>191</v>
      </c>
      <c r="B219" s="28">
        <v>0</v>
      </c>
      <c r="C219" s="28">
        <v>28323</v>
      </c>
    </row>
    <row r="220" spans="1:3" x14ac:dyDescent="0.35">
      <c r="A220" s="34" t="s">
        <v>85</v>
      </c>
      <c r="B220" s="31">
        <f>SUM(B210,B211,B212,B213,B214,B215,B216,B217,B218,B219)</f>
        <v>2019258.2500000002</v>
      </c>
      <c r="C220" s="31">
        <f>SUM(C210,C211,C212,C213,C214,C215,C216,C217,C218,C219)</f>
        <v>1769493.83</v>
      </c>
    </row>
    <row r="223" spans="1:3" x14ac:dyDescent="0.35">
      <c r="A223" s="32" t="s">
        <v>192</v>
      </c>
    </row>
    <row r="224" spans="1:3" ht="30" customHeight="1" x14ac:dyDescent="0.35">
      <c r="A224" s="16" t="s">
        <v>5</v>
      </c>
      <c r="B224" s="16" t="s">
        <v>48</v>
      </c>
      <c r="C224" s="16" t="s">
        <v>49</v>
      </c>
    </row>
    <row r="225" spans="1:3" x14ac:dyDescent="0.35">
      <c r="A225" s="21" t="s">
        <v>114</v>
      </c>
      <c r="B225" s="28">
        <v>100000</v>
      </c>
      <c r="C225" s="28">
        <v>166092</v>
      </c>
    </row>
    <row r="226" spans="1:3" x14ac:dyDescent="0.35">
      <c r="A226" s="34" t="s">
        <v>85</v>
      </c>
      <c r="B226" s="31">
        <f>SUM(B225)</f>
        <v>100000</v>
      </c>
      <c r="C226" s="31">
        <f>SUM(C225)</f>
        <v>166092</v>
      </c>
    </row>
    <row r="229" spans="1:3" x14ac:dyDescent="0.35">
      <c r="A229" s="32" t="s">
        <v>193</v>
      </c>
    </row>
    <row r="230" spans="1:3" ht="27.75" customHeight="1" x14ac:dyDescent="0.35">
      <c r="A230" s="8" t="s">
        <v>194</v>
      </c>
      <c r="B230" s="8"/>
      <c r="C230" s="8"/>
    </row>
    <row r="231" spans="1:3" ht="27.75" customHeight="1" x14ac:dyDescent="0.35">
      <c r="A231" s="8" t="s">
        <v>195</v>
      </c>
      <c r="B231" s="8"/>
      <c r="C231" s="8"/>
    </row>
    <row r="232" spans="1:3" ht="27.75" customHeight="1" x14ac:dyDescent="0.35">
      <c r="A232" s="8" t="s">
        <v>196</v>
      </c>
      <c r="B232" s="8"/>
      <c r="C232" s="8"/>
    </row>
    <row r="233" spans="1:3" ht="27.75" customHeight="1" x14ac:dyDescent="0.35">
      <c r="A233" s="8" t="s">
        <v>197</v>
      </c>
      <c r="B233" s="8"/>
      <c r="C233" s="8"/>
    </row>
    <row r="234" spans="1:3" ht="27.75" customHeight="1" x14ac:dyDescent="0.35">
      <c r="A234" s="8" t="s">
        <v>198</v>
      </c>
      <c r="B234" s="8"/>
      <c r="C234" s="8"/>
    </row>
    <row r="235" spans="1:3" ht="27.75" customHeight="1" x14ac:dyDescent="0.35">
      <c r="A235" s="8" t="s">
        <v>199</v>
      </c>
      <c r="B235" s="8"/>
      <c r="C235" s="8"/>
    </row>
    <row r="236" spans="1:3" ht="27.75" customHeight="1" x14ac:dyDescent="0.35">
      <c r="A236" s="8" t="s">
        <v>200</v>
      </c>
      <c r="B236" s="8"/>
      <c r="C236" s="8"/>
    </row>
    <row r="237" spans="1:3" ht="27.75" customHeight="1" x14ac:dyDescent="0.35">
      <c r="A237" s="8" t="s">
        <v>201</v>
      </c>
      <c r="B237" s="8"/>
      <c r="C237" s="8"/>
    </row>
    <row r="240" spans="1:3" x14ac:dyDescent="0.35">
      <c r="A240" s="26" t="s">
        <v>34</v>
      </c>
      <c r="B240" s="26" t="s">
        <v>35</v>
      </c>
    </row>
    <row r="241" spans="1:2" x14ac:dyDescent="0.35">
      <c r="A241" s="25" t="s">
        <v>36</v>
      </c>
      <c r="B241" s="25" t="s">
        <v>0</v>
      </c>
    </row>
    <row r="242" spans="1:2" x14ac:dyDescent="0.35">
      <c r="A242" s="25" t="s">
        <v>37</v>
      </c>
    </row>
    <row r="243" spans="1:2" x14ac:dyDescent="0.35">
      <c r="A243" s="27" t="s">
        <v>38</v>
      </c>
    </row>
    <row r="249" spans="1:2" x14ac:dyDescent="0.35">
      <c r="A249" s="25" t="s">
        <v>39</v>
      </c>
    </row>
    <row r="250" spans="1:2" x14ac:dyDescent="0.35">
      <c r="A250" s="27" t="s">
        <v>40</v>
      </c>
      <c r="B250" s="25" t="s">
        <v>41</v>
      </c>
    </row>
    <row r="251" spans="1:2" x14ac:dyDescent="0.35">
      <c r="A251" s="27" t="s">
        <v>42</v>
      </c>
      <c r="B251" s="27" t="s">
        <v>43</v>
      </c>
    </row>
    <row r="252" spans="1:2" x14ac:dyDescent="0.35">
      <c r="A252" s="27" t="s">
        <v>44</v>
      </c>
    </row>
    <row r="253" spans="1:2" x14ac:dyDescent="0.35">
      <c r="A253" s="27" t="s">
        <v>45</v>
      </c>
    </row>
    <row r="254" spans="1:2" x14ac:dyDescent="0.35">
      <c r="A254" s="27" t="s">
        <v>46</v>
      </c>
    </row>
  </sheetData>
  <mergeCells count="15">
    <mergeCell ref="A233:C233"/>
    <mergeCell ref="A234:C234"/>
    <mergeCell ref="A235:C235"/>
    <mergeCell ref="A236:C236"/>
    <mergeCell ref="A237:C237"/>
    <mergeCell ref="A70:C70"/>
    <mergeCell ref="A110:C110"/>
    <mergeCell ref="A230:C230"/>
    <mergeCell ref="A231:C231"/>
    <mergeCell ref="A232:C232"/>
    <mergeCell ref="A1:C1"/>
    <mergeCell ref="A2:C2"/>
    <mergeCell ref="A3:C3"/>
    <mergeCell ref="A4:C4"/>
    <mergeCell ref="A14:C14"/>
  </mergeCells>
  <pageMargins left="0.5" right="0.5" top="0.5" bottom="0.5" header="0.511811023622047" footer="0.511811023622047"/>
  <pageSetup paperSize="9" fitToHeight="0" orientation="portrait" horizontalDpi="300" verticalDpi="300"/>
  <rowBreaks count="5" manualBreakCount="5">
    <brk id="52" max="16383" man="1"/>
    <brk id="94" max="16383" man="1"/>
    <brk id="138" max="16383" man="1"/>
    <brk id="179" max="16383" man="1"/>
    <brk id="22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2"/>
  <sheetViews>
    <sheetView showGridLines="0" zoomScaleNormal="100" workbookViewId="0">
      <selection sqref="A1:I1"/>
    </sheetView>
  </sheetViews>
  <sheetFormatPr defaultColWidth="8.6328125" defaultRowHeight="14.5" x14ac:dyDescent="0.35"/>
  <cols>
    <col min="1" max="1" width="34" customWidth="1"/>
    <col min="2" max="2" width="14" customWidth="1"/>
    <col min="3" max="5" width="13" customWidth="1"/>
    <col min="6" max="6" width="15" customWidth="1"/>
    <col min="7" max="7" width="8" customWidth="1"/>
    <col min="8" max="8" width="14" customWidth="1"/>
    <col min="9" max="9" width="15" customWidth="1"/>
  </cols>
  <sheetData>
    <row r="1" spans="1:9" ht="17.399999999999999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15" customHeight="1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9" ht="19.5" customHeight="1" x14ac:dyDescent="0.35">
      <c r="A4" s="11" t="s">
        <v>202</v>
      </c>
      <c r="B4" s="11"/>
      <c r="C4" s="11"/>
      <c r="D4" s="11"/>
      <c r="E4" s="11"/>
      <c r="F4" s="11"/>
      <c r="G4" s="11"/>
      <c r="H4" s="11"/>
      <c r="I4" s="11"/>
    </row>
    <row r="5" spans="1:9" x14ac:dyDescent="0.35">
      <c r="I5" s="15" t="s">
        <v>4</v>
      </c>
    </row>
    <row r="6" spans="1:9" ht="30" customHeight="1" x14ac:dyDescent="0.35">
      <c r="A6" s="16" t="s">
        <v>5</v>
      </c>
      <c r="B6" s="16" t="s">
        <v>203</v>
      </c>
      <c r="C6" s="16" t="s">
        <v>204</v>
      </c>
      <c r="D6" s="16" t="s">
        <v>205</v>
      </c>
      <c r="E6" s="16" t="s">
        <v>206</v>
      </c>
      <c r="F6" s="16" t="s">
        <v>207</v>
      </c>
      <c r="G6" s="16" t="s">
        <v>208</v>
      </c>
      <c r="H6" s="16" t="s">
        <v>209</v>
      </c>
      <c r="I6" s="16" t="s">
        <v>210</v>
      </c>
    </row>
    <row r="7" spans="1:9" x14ac:dyDescent="0.35">
      <c r="A7" s="35" t="s">
        <v>211</v>
      </c>
      <c r="B7" s="18"/>
      <c r="C7" s="18"/>
      <c r="D7" s="18"/>
      <c r="E7" s="18"/>
      <c r="F7" s="18"/>
      <c r="G7" s="18"/>
      <c r="H7" s="18"/>
      <c r="I7" s="18"/>
    </row>
    <row r="8" spans="1:9" x14ac:dyDescent="0.35">
      <c r="A8" s="36" t="s">
        <v>212</v>
      </c>
      <c r="B8" s="37">
        <v>19294.9575</v>
      </c>
      <c r="C8" s="37">
        <v>0</v>
      </c>
      <c r="D8" s="37">
        <v>0</v>
      </c>
      <c r="E8" s="37">
        <v>0</v>
      </c>
      <c r="F8" s="37">
        <f t="shared" ref="F8:F29" si="0">B8+C8+D8-E8</f>
        <v>19294.9575</v>
      </c>
      <c r="G8" s="38">
        <v>0.15</v>
      </c>
      <c r="H8" s="37">
        <v>2894</v>
      </c>
      <c r="I8" s="37">
        <f t="shared" ref="I8:I29" si="1">IF(E8&gt;0,0,F8-H8)</f>
        <v>16400.9575</v>
      </c>
    </row>
    <row r="9" spans="1:9" x14ac:dyDescent="0.35">
      <c r="A9" s="36" t="s">
        <v>213</v>
      </c>
      <c r="B9" s="37">
        <v>3051.6615000000002</v>
      </c>
      <c r="C9" s="37">
        <v>0</v>
      </c>
      <c r="D9" s="37">
        <v>0</v>
      </c>
      <c r="E9" s="37">
        <v>0</v>
      </c>
      <c r="F9" s="37">
        <f t="shared" si="0"/>
        <v>3051.6615000000002</v>
      </c>
      <c r="G9" s="38">
        <v>0.15</v>
      </c>
      <c r="H9" s="37">
        <v>458</v>
      </c>
      <c r="I9" s="37">
        <f t="shared" si="1"/>
        <v>2593.6615000000002</v>
      </c>
    </row>
    <row r="10" spans="1:9" x14ac:dyDescent="0.35">
      <c r="A10" s="36" t="s">
        <v>214</v>
      </c>
      <c r="B10" s="37">
        <v>14212.467500000001</v>
      </c>
      <c r="C10" s="37">
        <v>0</v>
      </c>
      <c r="D10" s="37">
        <v>0</v>
      </c>
      <c r="E10" s="37">
        <v>0</v>
      </c>
      <c r="F10" s="37">
        <f t="shared" si="0"/>
        <v>14212.467500000001</v>
      </c>
      <c r="G10" s="38">
        <v>0.15</v>
      </c>
      <c r="H10" s="37">
        <v>2132</v>
      </c>
      <c r="I10" s="37">
        <f t="shared" si="1"/>
        <v>12080.467500000001</v>
      </c>
    </row>
    <row r="11" spans="1:9" x14ac:dyDescent="0.35">
      <c r="A11" s="36" t="s">
        <v>215</v>
      </c>
      <c r="B11" s="37">
        <v>204520.693</v>
      </c>
      <c r="C11" s="37">
        <v>0</v>
      </c>
      <c r="D11" s="37">
        <v>0</v>
      </c>
      <c r="E11" s="37">
        <v>183195</v>
      </c>
      <c r="F11" s="37">
        <f t="shared" si="0"/>
        <v>21325.692999999999</v>
      </c>
      <c r="G11" s="38">
        <v>0.15</v>
      </c>
      <c r="H11" s="37">
        <v>15339</v>
      </c>
      <c r="I11" s="37">
        <f t="shared" si="1"/>
        <v>0</v>
      </c>
    </row>
    <row r="12" spans="1:9" x14ac:dyDescent="0.35">
      <c r="A12" s="36" t="s">
        <v>216</v>
      </c>
      <c r="B12" s="37">
        <v>526811.35950000002</v>
      </c>
      <c r="C12" s="37">
        <v>0</v>
      </c>
      <c r="D12" s="37">
        <v>0</v>
      </c>
      <c r="E12" s="37">
        <v>0</v>
      </c>
      <c r="F12" s="37">
        <f t="shared" si="0"/>
        <v>526811.35950000002</v>
      </c>
      <c r="G12" s="38">
        <v>0.15</v>
      </c>
      <c r="H12" s="37">
        <v>79022</v>
      </c>
      <c r="I12" s="37">
        <f t="shared" si="1"/>
        <v>447789.35950000002</v>
      </c>
    </row>
    <row r="13" spans="1:9" x14ac:dyDescent="0.35">
      <c r="A13" s="36" t="s">
        <v>217</v>
      </c>
      <c r="B13" s="37">
        <v>2264.3065000000001</v>
      </c>
      <c r="C13" s="37">
        <v>0</v>
      </c>
      <c r="D13" s="37">
        <v>0</v>
      </c>
      <c r="E13" s="37">
        <v>0</v>
      </c>
      <c r="F13" s="37">
        <f t="shared" si="0"/>
        <v>2264.3065000000001</v>
      </c>
      <c r="G13" s="38">
        <v>0.15</v>
      </c>
      <c r="H13" s="37">
        <v>340</v>
      </c>
      <c r="I13" s="37">
        <f t="shared" si="1"/>
        <v>1924.3065000000001</v>
      </c>
    </row>
    <row r="14" spans="1:9" x14ac:dyDescent="0.35">
      <c r="A14" s="36" t="s">
        <v>218</v>
      </c>
      <c r="B14" s="37">
        <v>8818.9369999999999</v>
      </c>
      <c r="C14" s="37">
        <v>0</v>
      </c>
      <c r="D14" s="37">
        <v>0</v>
      </c>
      <c r="E14" s="37">
        <v>0</v>
      </c>
      <c r="F14" s="37">
        <f t="shared" si="0"/>
        <v>8818.9369999999999</v>
      </c>
      <c r="G14" s="38">
        <v>0.15</v>
      </c>
      <c r="H14" s="37">
        <v>1323</v>
      </c>
      <c r="I14" s="37">
        <f t="shared" si="1"/>
        <v>7495.9369999999999</v>
      </c>
    </row>
    <row r="15" spans="1:9" x14ac:dyDescent="0.35">
      <c r="A15" s="36" t="s">
        <v>219</v>
      </c>
      <c r="B15" s="37">
        <v>54716.072500000002</v>
      </c>
      <c r="C15" s="37">
        <v>0</v>
      </c>
      <c r="D15" s="37">
        <v>0</v>
      </c>
      <c r="E15" s="37">
        <v>0</v>
      </c>
      <c r="F15" s="37">
        <f t="shared" si="0"/>
        <v>54716.072500000002</v>
      </c>
      <c r="G15" s="38">
        <v>0.15</v>
      </c>
      <c r="H15" s="37">
        <v>8207</v>
      </c>
      <c r="I15" s="37">
        <f t="shared" si="1"/>
        <v>46509.072500000002</v>
      </c>
    </row>
    <row r="16" spans="1:9" x14ac:dyDescent="0.35">
      <c r="A16" s="36" t="s">
        <v>220</v>
      </c>
      <c r="B16" s="37">
        <v>73228.766499999998</v>
      </c>
      <c r="C16" s="37">
        <v>0</v>
      </c>
      <c r="D16" s="37">
        <v>0</v>
      </c>
      <c r="E16" s="37">
        <v>0</v>
      </c>
      <c r="F16" s="37">
        <f t="shared" si="0"/>
        <v>73228.766499999998</v>
      </c>
      <c r="G16" s="38">
        <v>0.15</v>
      </c>
      <c r="H16" s="37">
        <v>10984</v>
      </c>
      <c r="I16" s="37">
        <f t="shared" si="1"/>
        <v>62244.766499999998</v>
      </c>
    </row>
    <row r="17" spans="1:9" x14ac:dyDescent="0.35">
      <c r="A17" s="36" t="s">
        <v>221</v>
      </c>
      <c r="B17" s="37">
        <v>64083.2255</v>
      </c>
      <c r="C17" s="37">
        <v>0</v>
      </c>
      <c r="D17" s="37">
        <v>0</v>
      </c>
      <c r="E17" s="37">
        <v>0</v>
      </c>
      <c r="F17" s="37">
        <f t="shared" si="0"/>
        <v>64083.2255</v>
      </c>
      <c r="G17" s="38">
        <v>0.15</v>
      </c>
      <c r="H17" s="37">
        <v>9612</v>
      </c>
      <c r="I17" s="37">
        <f t="shared" si="1"/>
        <v>54471.2255</v>
      </c>
    </row>
    <row r="18" spans="1:9" x14ac:dyDescent="0.35">
      <c r="A18" s="36" t="s">
        <v>222</v>
      </c>
      <c r="B18" s="37">
        <v>218.8665</v>
      </c>
      <c r="C18" s="37">
        <v>0</v>
      </c>
      <c r="D18" s="37">
        <v>0</v>
      </c>
      <c r="E18" s="37">
        <v>0</v>
      </c>
      <c r="F18" s="37">
        <f t="shared" si="0"/>
        <v>218.8665</v>
      </c>
      <c r="G18" s="38">
        <v>0.15</v>
      </c>
      <c r="H18" s="37">
        <v>33</v>
      </c>
      <c r="I18" s="37">
        <f t="shared" si="1"/>
        <v>185.8665</v>
      </c>
    </row>
    <row r="19" spans="1:9" x14ac:dyDescent="0.35">
      <c r="A19" s="36" t="s">
        <v>223</v>
      </c>
      <c r="B19" s="37">
        <v>35195.949999999997</v>
      </c>
      <c r="C19" s="37">
        <v>0</v>
      </c>
      <c r="D19" s="37">
        <v>0</v>
      </c>
      <c r="E19" s="37">
        <v>0</v>
      </c>
      <c r="F19" s="37">
        <f t="shared" si="0"/>
        <v>35195.949999999997</v>
      </c>
      <c r="G19" s="38">
        <v>0.15</v>
      </c>
      <c r="H19" s="37">
        <v>5279</v>
      </c>
      <c r="I19" s="37">
        <f t="shared" si="1"/>
        <v>29916.949999999997</v>
      </c>
    </row>
    <row r="20" spans="1:9" x14ac:dyDescent="0.35">
      <c r="A20" s="36" t="s">
        <v>224</v>
      </c>
      <c r="B20" s="37">
        <v>239700</v>
      </c>
      <c r="C20" s="37">
        <v>0</v>
      </c>
      <c r="D20" s="37">
        <v>0</v>
      </c>
      <c r="E20" s="37">
        <v>0</v>
      </c>
      <c r="F20" s="37">
        <f t="shared" si="0"/>
        <v>239700</v>
      </c>
      <c r="G20" s="38">
        <v>0.15</v>
      </c>
      <c r="H20" s="37">
        <v>35955</v>
      </c>
      <c r="I20" s="37">
        <f t="shared" si="1"/>
        <v>203745</v>
      </c>
    </row>
    <row r="21" spans="1:9" x14ac:dyDescent="0.35">
      <c r="A21" s="36" t="s">
        <v>225</v>
      </c>
      <c r="B21" s="37">
        <v>532754.78</v>
      </c>
      <c r="C21" s="37">
        <v>0</v>
      </c>
      <c r="D21" s="37">
        <v>0</v>
      </c>
      <c r="E21" s="37">
        <v>0</v>
      </c>
      <c r="F21" s="37">
        <f t="shared" si="0"/>
        <v>532754.78</v>
      </c>
      <c r="G21" s="38">
        <v>0.15</v>
      </c>
      <c r="H21" s="37">
        <v>79913</v>
      </c>
      <c r="I21" s="37">
        <f t="shared" si="1"/>
        <v>452841.78</v>
      </c>
    </row>
    <row r="22" spans="1:9" x14ac:dyDescent="0.35">
      <c r="A22" s="36" t="s">
        <v>226</v>
      </c>
      <c r="B22" s="37">
        <v>532754.78</v>
      </c>
      <c r="C22" s="37">
        <v>0</v>
      </c>
      <c r="D22" s="37">
        <v>0</v>
      </c>
      <c r="E22" s="37">
        <v>0</v>
      </c>
      <c r="F22" s="37">
        <f t="shared" si="0"/>
        <v>532754.78</v>
      </c>
      <c r="G22" s="38">
        <v>0.15</v>
      </c>
      <c r="H22" s="37">
        <v>79913</v>
      </c>
      <c r="I22" s="37">
        <f t="shared" si="1"/>
        <v>452841.78</v>
      </c>
    </row>
    <row r="23" spans="1:9" x14ac:dyDescent="0.35">
      <c r="A23" s="36" t="s">
        <v>227</v>
      </c>
      <c r="B23" s="37">
        <v>532754.78</v>
      </c>
      <c r="C23" s="37">
        <v>0</v>
      </c>
      <c r="D23" s="37">
        <v>0</v>
      </c>
      <c r="E23" s="37">
        <v>0</v>
      </c>
      <c r="F23" s="37">
        <f t="shared" si="0"/>
        <v>532754.78</v>
      </c>
      <c r="G23" s="38">
        <v>0.15</v>
      </c>
      <c r="H23" s="37">
        <v>79913</v>
      </c>
      <c r="I23" s="37">
        <f t="shared" si="1"/>
        <v>452841.78</v>
      </c>
    </row>
    <row r="24" spans="1:9" x14ac:dyDescent="0.35">
      <c r="A24" s="36" t="s">
        <v>228</v>
      </c>
      <c r="B24" s="37">
        <v>0</v>
      </c>
      <c r="C24" s="37">
        <v>106668</v>
      </c>
      <c r="D24" s="37">
        <v>0</v>
      </c>
      <c r="E24" s="37">
        <v>0</v>
      </c>
      <c r="F24" s="37">
        <f t="shared" si="0"/>
        <v>106668</v>
      </c>
      <c r="G24" s="38">
        <v>0.15</v>
      </c>
      <c r="H24" s="37">
        <v>16000</v>
      </c>
      <c r="I24" s="37">
        <f t="shared" si="1"/>
        <v>90668</v>
      </c>
    </row>
    <row r="25" spans="1:9" x14ac:dyDescent="0.35">
      <c r="A25" s="36" t="s">
        <v>229</v>
      </c>
      <c r="B25" s="37">
        <v>0</v>
      </c>
      <c r="C25" s="37">
        <v>120952</v>
      </c>
      <c r="D25" s="37">
        <v>0</v>
      </c>
      <c r="E25" s="37">
        <v>0</v>
      </c>
      <c r="F25" s="37">
        <f t="shared" si="0"/>
        <v>120952</v>
      </c>
      <c r="G25" s="38">
        <v>0.15</v>
      </c>
      <c r="H25" s="37">
        <v>18143</v>
      </c>
      <c r="I25" s="37">
        <f t="shared" si="1"/>
        <v>102809</v>
      </c>
    </row>
    <row r="26" spans="1:9" x14ac:dyDescent="0.35">
      <c r="A26" s="36" t="s">
        <v>230</v>
      </c>
      <c r="B26" s="37">
        <v>0</v>
      </c>
      <c r="C26" s="37">
        <v>120952</v>
      </c>
      <c r="D26" s="37">
        <v>0</v>
      </c>
      <c r="E26" s="37">
        <v>0</v>
      </c>
      <c r="F26" s="37">
        <f t="shared" si="0"/>
        <v>120952</v>
      </c>
      <c r="G26" s="38">
        <v>0.15</v>
      </c>
      <c r="H26" s="37">
        <v>18143</v>
      </c>
      <c r="I26" s="37">
        <f t="shared" si="1"/>
        <v>102809</v>
      </c>
    </row>
    <row r="27" spans="1:9" x14ac:dyDescent="0.35">
      <c r="A27" s="36" t="s">
        <v>231</v>
      </c>
      <c r="B27" s="37">
        <v>0</v>
      </c>
      <c r="C27" s="37">
        <v>0</v>
      </c>
      <c r="D27" s="37">
        <v>120952</v>
      </c>
      <c r="E27" s="37">
        <v>0</v>
      </c>
      <c r="F27" s="37">
        <f t="shared" si="0"/>
        <v>120952</v>
      </c>
      <c r="G27" s="38">
        <v>0.15</v>
      </c>
      <c r="H27" s="37">
        <v>9071</v>
      </c>
      <c r="I27" s="37">
        <f t="shared" si="1"/>
        <v>111881</v>
      </c>
    </row>
    <row r="28" spans="1:9" x14ac:dyDescent="0.35">
      <c r="A28" s="36" t="s">
        <v>232</v>
      </c>
      <c r="B28" s="37">
        <v>0</v>
      </c>
      <c r="C28" s="37">
        <v>0</v>
      </c>
      <c r="D28" s="37">
        <v>120952</v>
      </c>
      <c r="E28" s="37">
        <v>0</v>
      </c>
      <c r="F28" s="37">
        <f t="shared" si="0"/>
        <v>120952</v>
      </c>
      <c r="G28" s="38">
        <v>0.15</v>
      </c>
      <c r="H28" s="37">
        <v>9071</v>
      </c>
      <c r="I28" s="37">
        <f t="shared" si="1"/>
        <v>111881</v>
      </c>
    </row>
    <row r="29" spans="1:9" x14ac:dyDescent="0.35">
      <c r="A29" s="36" t="s">
        <v>233</v>
      </c>
      <c r="B29" s="37">
        <v>1310134.75</v>
      </c>
      <c r="C29" s="37">
        <v>0</v>
      </c>
      <c r="D29" s="37">
        <v>0</v>
      </c>
      <c r="E29" s="37">
        <v>0</v>
      </c>
      <c r="F29" s="37">
        <f t="shared" si="0"/>
        <v>1310134.75</v>
      </c>
      <c r="G29" s="38">
        <v>0.15</v>
      </c>
      <c r="H29" s="37">
        <v>196520</v>
      </c>
      <c r="I29" s="37">
        <f t="shared" si="1"/>
        <v>1113614.75</v>
      </c>
    </row>
    <row r="30" spans="1:9" x14ac:dyDescent="0.35">
      <c r="A30" s="35" t="s">
        <v>234</v>
      </c>
      <c r="B30" s="18"/>
      <c r="C30" s="18"/>
      <c r="D30" s="18"/>
      <c r="E30" s="18"/>
      <c r="F30" s="18"/>
      <c r="G30" s="18"/>
      <c r="H30" s="18"/>
      <c r="I30" s="18"/>
    </row>
    <row r="31" spans="1:9" x14ac:dyDescent="0.35">
      <c r="A31" s="36" t="s">
        <v>235</v>
      </c>
      <c r="B31" s="37">
        <v>55515.6</v>
      </c>
      <c r="C31" s="37">
        <v>0</v>
      </c>
      <c r="D31" s="37">
        <v>0</v>
      </c>
      <c r="E31" s="37">
        <v>0</v>
      </c>
      <c r="F31" s="37">
        <f>B31+C31+D31-E31</f>
        <v>55515.6</v>
      </c>
      <c r="G31" s="38">
        <v>0.1</v>
      </c>
      <c r="H31" s="37">
        <v>5552</v>
      </c>
      <c r="I31" s="37">
        <f>IF(E31&gt;0,0,F31-H31)</f>
        <v>49963.6</v>
      </c>
    </row>
    <row r="32" spans="1:9" x14ac:dyDescent="0.35">
      <c r="A32" s="35" t="s">
        <v>236</v>
      </c>
      <c r="B32" s="18"/>
      <c r="C32" s="18"/>
      <c r="D32" s="18"/>
      <c r="E32" s="18"/>
      <c r="F32" s="18"/>
      <c r="G32" s="18"/>
      <c r="H32" s="18"/>
      <c r="I32" s="18"/>
    </row>
    <row r="33" spans="1:9" x14ac:dyDescent="0.35">
      <c r="A33" s="36" t="s">
        <v>237</v>
      </c>
      <c r="B33" s="37">
        <v>4862.3739999999998</v>
      </c>
      <c r="C33" s="37">
        <v>0</v>
      </c>
      <c r="D33" s="37">
        <v>0</v>
      </c>
      <c r="E33" s="37">
        <v>0</v>
      </c>
      <c r="F33" s="37">
        <f t="shared" ref="F33:F49" si="2">B33+C33+D33-E33</f>
        <v>4862.3739999999998</v>
      </c>
      <c r="G33" s="38">
        <v>0.15</v>
      </c>
      <c r="H33" s="37">
        <v>729</v>
      </c>
      <c r="I33" s="37">
        <f t="shared" ref="I33:I49" si="3">IF(E33&gt;0,0,F33-H33)</f>
        <v>4133.3739999999998</v>
      </c>
    </row>
    <row r="34" spans="1:9" x14ac:dyDescent="0.35">
      <c r="A34" s="36" t="s">
        <v>238</v>
      </c>
      <c r="B34" s="37">
        <v>854.12400000000002</v>
      </c>
      <c r="C34" s="37">
        <v>0</v>
      </c>
      <c r="D34" s="37">
        <v>0</v>
      </c>
      <c r="E34" s="37">
        <v>0</v>
      </c>
      <c r="F34" s="37">
        <f t="shared" si="2"/>
        <v>854.12400000000002</v>
      </c>
      <c r="G34" s="38">
        <v>0.4</v>
      </c>
      <c r="H34" s="37">
        <v>342</v>
      </c>
      <c r="I34" s="37">
        <f t="shared" si="3"/>
        <v>512.12400000000002</v>
      </c>
    </row>
    <row r="35" spans="1:9" x14ac:dyDescent="0.35">
      <c r="A35" s="36" t="s">
        <v>239</v>
      </c>
      <c r="B35" s="37">
        <v>1096.6955</v>
      </c>
      <c r="C35" s="37">
        <v>0</v>
      </c>
      <c r="D35" s="37">
        <v>0</v>
      </c>
      <c r="E35" s="37">
        <v>0</v>
      </c>
      <c r="F35" s="37">
        <f t="shared" si="2"/>
        <v>1096.6955</v>
      </c>
      <c r="G35" s="38">
        <v>0.15</v>
      </c>
      <c r="H35" s="37">
        <v>165</v>
      </c>
      <c r="I35" s="37">
        <f t="shared" si="3"/>
        <v>931.69550000000004</v>
      </c>
    </row>
    <row r="36" spans="1:9" x14ac:dyDescent="0.35">
      <c r="A36" s="36" t="s">
        <v>240</v>
      </c>
      <c r="B36" s="37">
        <v>25145.4735</v>
      </c>
      <c r="C36" s="37">
        <v>0</v>
      </c>
      <c r="D36" s="37">
        <v>0</v>
      </c>
      <c r="E36" s="37">
        <v>0</v>
      </c>
      <c r="F36" s="37">
        <f t="shared" si="2"/>
        <v>25145.4735</v>
      </c>
      <c r="G36" s="38">
        <v>0.15</v>
      </c>
      <c r="H36" s="37">
        <v>3772</v>
      </c>
      <c r="I36" s="37">
        <f t="shared" si="3"/>
        <v>21373.4735</v>
      </c>
    </row>
    <row r="37" spans="1:9" x14ac:dyDescent="0.35">
      <c r="A37" s="36" t="s">
        <v>241</v>
      </c>
      <c r="B37" s="37">
        <v>1902.1895</v>
      </c>
      <c r="C37" s="37">
        <v>0</v>
      </c>
      <c r="D37" s="37">
        <v>0</v>
      </c>
      <c r="E37" s="37">
        <v>0</v>
      </c>
      <c r="F37" s="37">
        <f t="shared" si="2"/>
        <v>1902.1895</v>
      </c>
      <c r="G37" s="38">
        <v>0.15</v>
      </c>
      <c r="H37" s="37">
        <v>285</v>
      </c>
      <c r="I37" s="37">
        <f t="shared" si="3"/>
        <v>1617.1895</v>
      </c>
    </row>
    <row r="38" spans="1:9" x14ac:dyDescent="0.35">
      <c r="A38" s="36" t="s">
        <v>242</v>
      </c>
      <c r="B38" s="37">
        <v>385.53449999999998</v>
      </c>
      <c r="C38" s="37">
        <v>0</v>
      </c>
      <c r="D38" s="37">
        <v>0</v>
      </c>
      <c r="E38" s="37">
        <v>0</v>
      </c>
      <c r="F38" s="37">
        <f t="shared" si="2"/>
        <v>385.53449999999998</v>
      </c>
      <c r="G38" s="38">
        <v>0.15</v>
      </c>
      <c r="H38" s="37">
        <v>58</v>
      </c>
      <c r="I38" s="37">
        <f t="shared" si="3"/>
        <v>327.53449999999998</v>
      </c>
    </row>
    <row r="39" spans="1:9" x14ac:dyDescent="0.35">
      <c r="A39" s="36" t="s">
        <v>243</v>
      </c>
      <c r="B39" s="37">
        <v>619.10599999999999</v>
      </c>
      <c r="C39" s="37">
        <v>0</v>
      </c>
      <c r="D39" s="37">
        <v>0</v>
      </c>
      <c r="E39" s="37">
        <v>0</v>
      </c>
      <c r="F39" s="37">
        <f t="shared" si="2"/>
        <v>619.10599999999999</v>
      </c>
      <c r="G39" s="38">
        <v>0.15</v>
      </c>
      <c r="H39" s="37">
        <v>93</v>
      </c>
      <c r="I39" s="37">
        <f t="shared" si="3"/>
        <v>526.10599999999999</v>
      </c>
    </row>
    <row r="40" spans="1:9" x14ac:dyDescent="0.35">
      <c r="A40" s="36" t="s">
        <v>244</v>
      </c>
      <c r="B40" s="37">
        <v>35818.889499999997</v>
      </c>
      <c r="C40" s="37">
        <v>0</v>
      </c>
      <c r="D40" s="37">
        <v>0</v>
      </c>
      <c r="E40" s="37">
        <v>0</v>
      </c>
      <c r="F40" s="37">
        <f t="shared" si="2"/>
        <v>35818.889499999997</v>
      </c>
      <c r="G40" s="38">
        <v>0.15</v>
      </c>
      <c r="H40" s="37">
        <v>5373</v>
      </c>
      <c r="I40" s="37">
        <f t="shared" si="3"/>
        <v>30445.889499999997</v>
      </c>
    </row>
    <row r="41" spans="1:9" x14ac:dyDescent="0.35">
      <c r="A41" s="36" t="s">
        <v>245</v>
      </c>
      <c r="B41" s="37">
        <v>34303.393750000003</v>
      </c>
      <c r="C41" s="37">
        <v>0</v>
      </c>
      <c r="D41" s="37">
        <v>0</v>
      </c>
      <c r="E41" s="37">
        <v>0</v>
      </c>
      <c r="F41" s="37">
        <f t="shared" si="2"/>
        <v>34303.393750000003</v>
      </c>
      <c r="G41" s="38">
        <v>0.15</v>
      </c>
      <c r="H41" s="37">
        <v>5146</v>
      </c>
      <c r="I41" s="37">
        <f t="shared" si="3"/>
        <v>29157.393750000003</v>
      </c>
    </row>
    <row r="42" spans="1:9" x14ac:dyDescent="0.35">
      <c r="A42" s="36" t="s">
        <v>245</v>
      </c>
      <c r="B42" s="37">
        <v>31066.661499999998</v>
      </c>
      <c r="C42" s="37">
        <v>0</v>
      </c>
      <c r="D42" s="37">
        <v>0</v>
      </c>
      <c r="E42" s="37">
        <v>0</v>
      </c>
      <c r="F42" s="37">
        <f t="shared" si="2"/>
        <v>31066.661499999998</v>
      </c>
      <c r="G42" s="38">
        <v>0.15</v>
      </c>
      <c r="H42" s="37">
        <v>4660</v>
      </c>
      <c r="I42" s="37">
        <f t="shared" si="3"/>
        <v>26406.661499999998</v>
      </c>
    </row>
    <row r="43" spans="1:9" x14ac:dyDescent="0.35">
      <c r="A43" s="36" t="s">
        <v>246</v>
      </c>
      <c r="B43" s="37">
        <v>111723.88</v>
      </c>
      <c r="C43" s="37">
        <v>0</v>
      </c>
      <c r="D43" s="37">
        <v>0</v>
      </c>
      <c r="E43" s="37">
        <v>0</v>
      </c>
      <c r="F43" s="37">
        <f t="shared" si="2"/>
        <v>111723.88</v>
      </c>
      <c r="G43" s="38">
        <v>0.15</v>
      </c>
      <c r="H43" s="37">
        <v>16759</v>
      </c>
      <c r="I43" s="37">
        <f t="shared" si="3"/>
        <v>94964.88</v>
      </c>
    </row>
    <row r="44" spans="1:9" x14ac:dyDescent="0.35">
      <c r="A44" s="36" t="s">
        <v>247</v>
      </c>
      <c r="B44" s="37">
        <v>90474.68</v>
      </c>
      <c r="C44" s="37">
        <v>0</v>
      </c>
      <c r="D44" s="37">
        <v>0</v>
      </c>
      <c r="E44" s="37">
        <v>0</v>
      </c>
      <c r="F44" s="37">
        <f t="shared" si="2"/>
        <v>90474.68</v>
      </c>
      <c r="G44" s="38">
        <v>0.15</v>
      </c>
      <c r="H44" s="37">
        <v>13571</v>
      </c>
      <c r="I44" s="37">
        <f t="shared" si="3"/>
        <v>76903.679999999993</v>
      </c>
    </row>
    <row r="45" spans="1:9" x14ac:dyDescent="0.35">
      <c r="A45" s="36" t="s">
        <v>247</v>
      </c>
      <c r="B45" s="37">
        <v>71202.263500000001</v>
      </c>
      <c r="C45" s="37">
        <v>0</v>
      </c>
      <c r="D45" s="37">
        <v>0</v>
      </c>
      <c r="E45" s="37">
        <v>0</v>
      </c>
      <c r="F45" s="37">
        <f t="shared" si="2"/>
        <v>71202.263500000001</v>
      </c>
      <c r="G45" s="38">
        <v>0.15</v>
      </c>
      <c r="H45" s="37">
        <v>10680</v>
      </c>
      <c r="I45" s="37">
        <f t="shared" si="3"/>
        <v>60522.263500000001</v>
      </c>
    </row>
    <row r="46" spans="1:9" x14ac:dyDescent="0.35">
      <c r="A46" s="36" t="s">
        <v>248</v>
      </c>
      <c r="B46" s="37">
        <v>0</v>
      </c>
      <c r="C46" s="37">
        <v>0</v>
      </c>
      <c r="D46" s="37">
        <v>76364</v>
      </c>
      <c r="E46" s="37">
        <v>0</v>
      </c>
      <c r="F46" s="37">
        <f t="shared" si="2"/>
        <v>76364</v>
      </c>
      <c r="G46" s="38">
        <v>0.15</v>
      </c>
      <c r="H46" s="37">
        <v>5727</v>
      </c>
      <c r="I46" s="37">
        <f t="shared" si="3"/>
        <v>70637</v>
      </c>
    </row>
    <row r="47" spans="1:9" x14ac:dyDescent="0.35">
      <c r="A47" s="36" t="s">
        <v>249</v>
      </c>
      <c r="B47" s="37">
        <v>0</v>
      </c>
      <c r="C47" s="37">
        <v>0</v>
      </c>
      <c r="D47" s="37">
        <v>70254</v>
      </c>
      <c r="E47" s="37">
        <v>0</v>
      </c>
      <c r="F47" s="37">
        <f t="shared" si="2"/>
        <v>70254</v>
      </c>
      <c r="G47" s="38">
        <v>0.15</v>
      </c>
      <c r="H47" s="37">
        <v>5269</v>
      </c>
      <c r="I47" s="37">
        <f t="shared" si="3"/>
        <v>64985</v>
      </c>
    </row>
    <row r="48" spans="1:9" x14ac:dyDescent="0.35">
      <c r="A48" s="36" t="s">
        <v>250</v>
      </c>
      <c r="B48" s="37">
        <v>0</v>
      </c>
      <c r="C48" s="37">
        <v>0</v>
      </c>
      <c r="D48" s="37">
        <v>10847</v>
      </c>
      <c r="E48" s="37">
        <v>0</v>
      </c>
      <c r="F48" s="37">
        <f t="shared" si="2"/>
        <v>10847</v>
      </c>
      <c r="G48" s="38">
        <v>0.15</v>
      </c>
      <c r="H48" s="37">
        <v>814</v>
      </c>
      <c r="I48" s="37">
        <f t="shared" si="3"/>
        <v>10033</v>
      </c>
    </row>
    <row r="49" spans="1:9" x14ac:dyDescent="0.35">
      <c r="A49" s="36" t="s">
        <v>251</v>
      </c>
      <c r="B49" s="37">
        <v>0</v>
      </c>
      <c r="C49" s="37">
        <v>0</v>
      </c>
      <c r="D49" s="37">
        <v>288179</v>
      </c>
      <c r="E49" s="37">
        <v>0</v>
      </c>
      <c r="F49" s="37">
        <f t="shared" si="2"/>
        <v>288179</v>
      </c>
      <c r="G49" s="38">
        <v>0.15</v>
      </c>
      <c r="H49" s="37">
        <v>21613</v>
      </c>
      <c r="I49" s="37">
        <f t="shared" si="3"/>
        <v>266566</v>
      </c>
    </row>
    <row r="50" spans="1:9" x14ac:dyDescent="0.35">
      <c r="A50" s="34" t="s">
        <v>252</v>
      </c>
      <c r="B50" s="31">
        <f>B8+B9+B10+B11+B12+B13+B14+B15+B16+B17+B18+B19+B20+B21+B22+B23+B24+B25+B26+B27+B28+B29+B31+B33+B34+B35+B36+B37+B38+B39+B40+B41+B42+B43+B44+B45+B46+B47+B48+B49</f>
        <v>4619487.21875</v>
      </c>
      <c r="C50" s="31">
        <f>C8+C9+C10+C11+C12+C13+C14+C15+C16+C17+C18+C19+C20+C21+C22+C23+C24+C25+C26+C27+C28+C29+C31+C33+C34+C35+C36+C37+C38+C39+C40+C41+C42+C43+C44+C45+C46+C47+C48+C49</f>
        <v>348572</v>
      </c>
      <c r="D50" s="31">
        <f>D8+D9+D10+D11+D12+D13+D14+D15+D16+D17+D18+D19+D20+D21+D22+D23+D24+D25+D26+D27+D28+D29+D31+D33+D34+D35+D36+D37+D38+D39+D40+D41+D42+D43+D44+D45+D46+D47+D48+D49</f>
        <v>687548</v>
      </c>
      <c r="E50" s="31">
        <f>E8+E9+E10+E11+E12+E13+E14+E15+E16+E17+E18+E19+E20+E21+E22+E23+E24+E25+E26+E27+E28+E29+E31+E33+E34+E35+E36+E37+E38+E39+E40+E41+E42+E43+E44+E45+E46+E47+E48+E49</f>
        <v>183195</v>
      </c>
      <c r="F50" s="31">
        <f>F8+F9+F10+F11+F12+F13+F14+F15+F16+F17+F18+F19+F20+F21+F22+F23+F24+F25+F26+F27+F28+F29+F31+F33+F34+F35+F36+F37+F38+F39+F40+F41+F42+F43+F44+F45+F46+F47+F48+F49</f>
        <v>5472412.21875</v>
      </c>
      <c r="G50" s="39"/>
      <c r="H50" s="31">
        <f>H8+H9+H10+H11+H12+H13+H14+H15+H16+H17+H18+H19+H20+H21+H22+H23+H24+H25+H26+H27+H28+H29+H31+H33+H34+H35+H36+H37+H38+H39+H40+H41+H42+H43+H44+H45+H46+H47+H48+H49</f>
        <v>778873</v>
      </c>
      <c r="I50" s="31">
        <f>I8+I9+I10+I11+I12+I13+I14+I15+I16+I17+I18+I19+I20+I21+I22+I23+I24+I25+I26+I27+I28+I29+I31+I33+I34+I35+I36+I37+I38+I39+I40+I41+I42+I43+I44+I45+I46+I47+I48+I49</f>
        <v>4687552.52575</v>
      </c>
    </row>
    <row r="51" spans="1:9" x14ac:dyDescent="0.35">
      <c r="A51" s="40" t="s">
        <v>253</v>
      </c>
      <c r="I51" s="41">
        <v>154727</v>
      </c>
    </row>
    <row r="52" spans="1:9" x14ac:dyDescent="0.35">
      <c r="A52" s="34" t="s">
        <v>254</v>
      </c>
      <c r="I52" s="31">
        <f>I50+I51</f>
        <v>4842279.52575</v>
      </c>
    </row>
    <row r="54" spans="1:9" x14ac:dyDescent="0.35">
      <c r="A54" s="7" t="s">
        <v>255</v>
      </c>
      <c r="B54" s="7"/>
      <c r="C54" s="7"/>
      <c r="D54" s="7"/>
      <c r="E54" s="7"/>
      <c r="F54" s="7"/>
      <c r="G54" s="7"/>
      <c r="H54" s="7"/>
      <c r="I54" s="7"/>
    </row>
    <row r="55" spans="1:9" x14ac:dyDescent="0.35">
      <c r="A55" s="7" t="s">
        <v>256</v>
      </c>
      <c r="B55" s="7"/>
      <c r="C55" s="7"/>
      <c r="D55" s="7"/>
      <c r="E55" s="7"/>
      <c r="F55" s="7"/>
      <c r="G55" s="7"/>
      <c r="H55" s="7"/>
      <c r="I55" s="7"/>
    </row>
    <row r="58" spans="1:9" x14ac:dyDescent="0.35">
      <c r="A58" s="26" t="s">
        <v>34</v>
      </c>
      <c r="F58" s="26" t="s">
        <v>35</v>
      </c>
    </row>
    <row r="59" spans="1:9" x14ac:dyDescent="0.35">
      <c r="A59" s="25" t="s">
        <v>36</v>
      </c>
      <c r="F59" s="25" t="s">
        <v>0</v>
      </c>
    </row>
    <row r="60" spans="1:9" x14ac:dyDescent="0.35">
      <c r="A60" s="25" t="s">
        <v>37</v>
      </c>
    </row>
    <row r="61" spans="1:9" x14ac:dyDescent="0.35">
      <c r="A61" s="27" t="s">
        <v>38</v>
      </c>
    </row>
    <row r="67" spans="1:6" x14ac:dyDescent="0.35">
      <c r="A67" s="25" t="s">
        <v>39</v>
      </c>
    </row>
    <row r="68" spans="1:6" x14ac:dyDescent="0.35">
      <c r="A68" s="27" t="s">
        <v>40</v>
      </c>
      <c r="F68" s="25" t="s">
        <v>41</v>
      </c>
    </row>
    <row r="69" spans="1:6" x14ac:dyDescent="0.35">
      <c r="A69" s="27" t="s">
        <v>42</v>
      </c>
      <c r="F69" s="27" t="s">
        <v>43</v>
      </c>
    </row>
    <row r="70" spans="1:6" x14ac:dyDescent="0.35">
      <c r="A70" s="27" t="s">
        <v>44</v>
      </c>
    </row>
    <row r="71" spans="1:6" x14ac:dyDescent="0.35">
      <c r="A71" s="27" t="s">
        <v>45</v>
      </c>
    </row>
    <row r="72" spans="1:6" x14ac:dyDescent="0.35">
      <c r="A72" s="27" t="s">
        <v>46</v>
      </c>
    </row>
  </sheetData>
  <mergeCells count="6">
    <mergeCell ref="A55:I55"/>
    <mergeCell ref="A1:I1"/>
    <mergeCell ref="A2:I2"/>
    <mergeCell ref="A3:I3"/>
    <mergeCell ref="A4:I4"/>
    <mergeCell ref="A54:I54"/>
  </mergeCells>
  <pageMargins left="0.5" right="0.5" top="0.5" bottom="0.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6"/>
  <sheetViews>
    <sheetView showGridLines="0" zoomScaleNormal="100" workbookViewId="0">
      <selection sqref="A1:J1"/>
    </sheetView>
  </sheetViews>
  <sheetFormatPr defaultColWidth="8.6328125" defaultRowHeight="14.5" x14ac:dyDescent="0.35"/>
  <cols>
    <col min="1" max="1" width="5" customWidth="1"/>
    <col min="2" max="2" width="28" customWidth="1"/>
    <col min="3" max="3" width="24" customWidth="1"/>
    <col min="4" max="4" width="20" customWidth="1"/>
    <col min="5" max="5" width="24" customWidth="1"/>
    <col min="6" max="6" width="11" customWidth="1"/>
    <col min="7" max="9" width="15" customWidth="1"/>
    <col min="10" max="10" width="14" customWidth="1"/>
  </cols>
  <sheetData>
    <row r="1" spans="1:10" ht="17.399999999999999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" customHeight="1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19.5" customHeight="1" x14ac:dyDescent="0.35">
      <c r="A4" s="11" t="s">
        <v>257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5">
      <c r="J5" s="15" t="s">
        <v>4</v>
      </c>
    </row>
    <row r="6" spans="1:10" ht="42" customHeight="1" x14ac:dyDescent="0.35">
      <c r="A6" s="16" t="s">
        <v>258</v>
      </c>
      <c r="B6" s="16" t="s">
        <v>259</v>
      </c>
      <c r="C6" s="16" t="s">
        <v>260</v>
      </c>
      <c r="D6" s="16" t="s">
        <v>261</v>
      </c>
      <c r="E6" s="16" t="s">
        <v>262</v>
      </c>
      <c r="F6" s="16" t="s">
        <v>263</v>
      </c>
      <c r="G6" s="16" t="s">
        <v>264</v>
      </c>
      <c r="H6" s="16" t="s">
        <v>265</v>
      </c>
      <c r="I6" s="16" t="s">
        <v>266</v>
      </c>
      <c r="J6" s="16" t="s">
        <v>267</v>
      </c>
    </row>
    <row r="7" spans="1:10" ht="25.5" customHeight="1" x14ac:dyDescent="0.35">
      <c r="A7" s="43">
        <v>1</v>
      </c>
      <c r="B7" s="44" t="s">
        <v>268</v>
      </c>
      <c r="C7" s="44" t="s">
        <v>269</v>
      </c>
      <c r="D7" s="44" t="s">
        <v>270</v>
      </c>
      <c r="E7" s="44" t="s">
        <v>271</v>
      </c>
      <c r="F7" s="43" t="s">
        <v>272</v>
      </c>
      <c r="G7" s="37">
        <v>11437844</v>
      </c>
      <c r="H7" s="37">
        <v>11437844</v>
      </c>
      <c r="I7" s="37">
        <f t="shared" ref="I7:I15" si="0">G7-H7</f>
        <v>0</v>
      </c>
      <c r="J7" s="37">
        <v>614561</v>
      </c>
    </row>
    <row r="8" spans="1:10" ht="25.5" customHeight="1" x14ac:dyDescent="0.35">
      <c r="A8" s="43">
        <v>2</v>
      </c>
      <c r="B8" s="44" t="s">
        <v>273</v>
      </c>
      <c r="C8" s="44" t="s">
        <v>274</v>
      </c>
      <c r="D8" s="44" t="s">
        <v>41</v>
      </c>
      <c r="E8" s="44" t="s">
        <v>275</v>
      </c>
      <c r="F8" s="43" t="s">
        <v>272</v>
      </c>
      <c r="G8" s="37">
        <v>0</v>
      </c>
      <c r="H8" s="37">
        <v>0</v>
      </c>
      <c r="I8" s="37">
        <f t="shared" si="0"/>
        <v>0</v>
      </c>
      <c r="J8" s="37">
        <v>405219</v>
      </c>
    </row>
    <row r="9" spans="1:10" ht="25.5" customHeight="1" x14ac:dyDescent="0.35">
      <c r="A9" s="43">
        <v>3</v>
      </c>
      <c r="B9" s="44" t="s">
        <v>276</v>
      </c>
      <c r="C9" s="44" t="s">
        <v>277</v>
      </c>
      <c r="D9" s="44" t="s">
        <v>270</v>
      </c>
      <c r="E9" s="44" t="s">
        <v>278</v>
      </c>
      <c r="F9" s="43" t="s">
        <v>272</v>
      </c>
      <c r="G9" s="37">
        <v>37765</v>
      </c>
      <c r="H9" s="37">
        <v>37765</v>
      </c>
      <c r="I9" s="37">
        <f t="shared" si="0"/>
        <v>0</v>
      </c>
      <c r="J9" s="37">
        <v>20055</v>
      </c>
    </row>
    <row r="10" spans="1:10" ht="25.5" customHeight="1" x14ac:dyDescent="0.35">
      <c r="A10" s="43">
        <v>4</v>
      </c>
      <c r="B10" s="44" t="s">
        <v>279</v>
      </c>
      <c r="C10" s="44" t="s">
        <v>280</v>
      </c>
      <c r="D10" s="44" t="s">
        <v>281</v>
      </c>
      <c r="E10" s="44" t="s">
        <v>282</v>
      </c>
      <c r="F10" s="43" t="s">
        <v>283</v>
      </c>
      <c r="G10" s="37">
        <v>3875890</v>
      </c>
      <c r="H10" s="37">
        <v>3875890</v>
      </c>
      <c r="I10" s="37">
        <f t="shared" si="0"/>
        <v>0</v>
      </c>
      <c r="J10" s="37">
        <v>323638</v>
      </c>
    </row>
    <row r="11" spans="1:10" ht="25.5" customHeight="1" x14ac:dyDescent="0.35">
      <c r="A11" s="43">
        <v>5</v>
      </c>
      <c r="B11" s="44" t="s">
        <v>284</v>
      </c>
      <c r="C11" s="44" t="s">
        <v>285</v>
      </c>
      <c r="D11" s="44" t="s">
        <v>281</v>
      </c>
      <c r="E11" s="44" t="s">
        <v>286</v>
      </c>
      <c r="F11" s="43" t="s">
        <v>283</v>
      </c>
      <c r="G11" s="37">
        <v>2708364</v>
      </c>
      <c r="H11" s="37">
        <v>2708364</v>
      </c>
      <c r="I11" s="37">
        <f t="shared" si="0"/>
        <v>0</v>
      </c>
      <c r="J11" s="37">
        <v>235895</v>
      </c>
    </row>
    <row r="12" spans="1:10" ht="25.5" customHeight="1" x14ac:dyDescent="0.35">
      <c r="A12" s="43">
        <v>6</v>
      </c>
      <c r="B12" s="44" t="s">
        <v>287</v>
      </c>
      <c r="C12" s="44" t="s">
        <v>288</v>
      </c>
      <c r="D12" s="44" t="s">
        <v>281</v>
      </c>
      <c r="E12" s="44" t="s">
        <v>289</v>
      </c>
      <c r="F12" s="43" t="s">
        <v>283</v>
      </c>
      <c r="G12" s="37">
        <v>2700074</v>
      </c>
      <c r="H12" s="37">
        <v>2700073.51</v>
      </c>
      <c r="I12" s="37">
        <f t="shared" si="0"/>
        <v>0.49000000022351742</v>
      </c>
      <c r="J12" s="37">
        <v>241757.51</v>
      </c>
    </row>
    <row r="13" spans="1:10" ht="25.5" customHeight="1" x14ac:dyDescent="0.35">
      <c r="A13" s="43">
        <v>7</v>
      </c>
      <c r="B13" s="44" t="s">
        <v>290</v>
      </c>
      <c r="C13" s="44" t="s">
        <v>291</v>
      </c>
      <c r="D13" s="44" t="s">
        <v>281</v>
      </c>
      <c r="E13" s="44" t="s">
        <v>292</v>
      </c>
      <c r="F13" s="43" t="s">
        <v>272</v>
      </c>
      <c r="G13" s="37">
        <v>1954440</v>
      </c>
      <c r="H13" s="37">
        <v>1954440</v>
      </c>
      <c r="I13" s="37">
        <f t="shared" si="0"/>
        <v>0</v>
      </c>
      <c r="J13" s="37">
        <v>289983</v>
      </c>
    </row>
    <row r="14" spans="1:10" ht="25.5" customHeight="1" x14ac:dyDescent="0.35">
      <c r="A14" s="43">
        <v>8</v>
      </c>
      <c r="B14" s="44" t="s">
        <v>293</v>
      </c>
      <c r="C14" s="44" t="s">
        <v>294</v>
      </c>
      <c r="D14" s="44" t="s">
        <v>295</v>
      </c>
      <c r="E14" s="44" t="s">
        <v>296</v>
      </c>
      <c r="F14" s="43" t="s">
        <v>272</v>
      </c>
      <c r="G14" s="37">
        <v>28504956</v>
      </c>
      <c r="H14" s="37">
        <v>28331996</v>
      </c>
      <c r="I14" s="37">
        <f t="shared" si="0"/>
        <v>172960</v>
      </c>
      <c r="J14" s="37">
        <v>2154562</v>
      </c>
    </row>
    <row r="15" spans="1:10" ht="25.5" customHeight="1" x14ac:dyDescent="0.35">
      <c r="A15" s="43">
        <v>9</v>
      </c>
      <c r="B15" s="44" t="s">
        <v>297</v>
      </c>
      <c r="C15" s="44" t="s">
        <v>298</v>
      </c>
      <c r="D15" s="44" t="s">
        <v>270</v>
      </c>
      <c r="E15" s="44" t="s">
        <v>299</v>
      </c>
      <c r="F15" s="43" t="s">
        <v>272</v>
      </c>
      <c r="G15" s="37">
        <v>6897966</v>
      </c>
      <c r="H15" s="37">
        <v>6950000</v>
      </c>
      <c r="I15" s="37">
        <f t="shared" si="0"/>
        <v>-52034</v>
      </c>
      <c r="J15" s="37">
        <v>0</v>
      </c>
    </row>
    <row r="16" spans="1:10" x14ac:dyDescent="0.35">
      <c r="A16" s="39"/>
      <c r="B16" s="34" t="s">
        <v>300</v>
      </c>
      <c r="C16" s="39"/>
      <c r="D16" s="39"/>
      <c r="E16" s="39"/>
      <c r="F16" s="39"/>
      <c r="G16" s="31">
        <f>SUM(G7:G15)</f>
        <v>58117299</v>
      </c>
      <c r="H16" s="31">
        <f>SUM(H7:H15)</f>
        <v>57996372.509999998</v>
      </c>
      <c r="I16" s="31">
        <f>SUM(I7:I15)</f>
        <v>120926.49000000022</v>
      </c>
      <c r="J16" s="31">
        <f>SUM(J7:J15)</f>
        <v>4285670.51</v>
      </c>
    </row>
    <row r="18" spans="2:10" x14ac:dyDescent="0.35">
      <c r="B18" s="7" t="s">
        <v>301</v>
      </c>
      <c r="C18" s="7"/>
      <c r="D18" s="7"/>
      <c r="E18" s="7"/>
      <c r="F18" s="7"/>
      <c r="G18" s="7"/>
      <c r="H18" s="7"/>
      <c r="I18" s="7"/>
      <c r="J18" s="7"/>
    </row>
    <row r="19" spans="2:10" x14ac:dyDescent="0.35">
      <c r="B19" s="7" t="s">
        <v>302</v>
      </c>
      <c r="C19" s="7"/>
      <c r="D19" s="7"/>
      <c r="E19" s="7"/>
      <c r="F19" s="7"/>
      <c r="G19" s="7"/>
      <c r="H19" s="7"/>
      <c r="I19" s="7"/>
      <c r="J19" s="7"/>
    </row>
    <row r="22" spans="2:10" x14ac:dyDescent="0.35">
      <c r="B22" s="26" t="s">
        <v>34</v>
      </c>
      <c r="H22" s="26" t="s">
        <v>35</v>
      </c>
    </row>
    <row r="23" spans="2:10" x14ac:dyDescent="0.35">
      <c r="B23" s="25" t="s">
        <v>36</v>
      </c>
      <c r="H23" s="25" t="s">
        <v>0</v>
      </c>
    </row>
    <row r="24" spans="2:10" x14ac:dyDescent="0.35">
      <c r="B24" s="25" t="s">
        <v>37</v>
      </c>
    </row>
    <row r="25" spans="2:10" x14ac:dyDescent="0.35">
      <c r="B25" s="27" t="s">
        <v>38</v>
      </c>
    </row>
    <row r="31" spans="2:10" x14ac:dyDescent="0.35">
      <c r="B31" s="25" t="s">
        <v>39</v>
      </c>
    </row>
    <row r="32" spans="2:10" x14ac:dyDescent="0.35">
      <c r="B32" s="27" t="s">
        <v>40</v>
      </c>
      <c r="H32" s="25" t="s">
        <v>41</v>
      </c>
    </row>
    <row r="33" spans="2:8" x14ac:dyDescent="0.35">
      <c r="B33" s="27" t="s">
        <v>42</v>
      </c>
      <c r="H33" s="27" t="s">
        <v>43</v>
      </c>
    </row>
    <row r="34" spans="2:8" x14ac:dyDescent="0.35">
      <c r="B34" s="27" t="s">
        <v>44</v>
      </c>
    </row>
    <row r="35" spans="2:8" x14ac:dyDescent="0.35">
      <c r="B35" s="27" t="s">
        <v>45</v>
      </c>
    </row>
    <row r="36" spans="2:8" x14ac:dyDescent="0.35">
      <c r="B36" s="27" t="s">
        <v>46</v>
      </c>
    </row>
  </sheetData>
  <mergeCells count="6">
    <mergeCell ref="B19:J19"/>
    <mergeCell ref="A1:J1"/>
    <mergeCell ref="A2:J2"/>
    <mergeCell ref="A3:J3"/>
    <mergeCell ref="A4:J4"/>
    <mergeCell ref="B18:J18"/>
  </mergeCells>
  <pageMargins left="0.5" right="0.5" top="0.5" bottom="0.5" header="0.511811023622047" footer="0.511811023622047"/>
  <pageSetup paperSize="9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5"/>
  <sheetViews>
    <sheetView showGridLines="0" topLeftCell="A4" zoomScaleNormal="100" workbookViewId="0">
      <selection sqref="A1:M1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12" customWidth="1"/>
    <col min="4" max="8" width="14" customWidth="1"/>
    <col min="9" max="13" width="12" customWidth="1"/>
  </cols>
  <sheetData>
    <row r="1" spans="1:13" ht="17.399999999999999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5" customHeight="1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9.5" customHeight="1" x14ac:dyDescent="0.35">
      <c r="A4" s="11" t="s">
        <v>303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35">
      <c r="M5" s="15" t="s">
        <v>4</v>
      </c>
    </row>
    <row r="6" spans="1:13" x14ac:dyDescent="0.35">
      <c r="A6" s="45"/>
      <c r="B6" s="6" t="s">
        <v>304</v>
      </c>
      <c r="C6" s="6"/>
      <c r="D6" s="6"/>
      <c r="E6" s="6"/>
      <c r="F6" s="6"/>
      <c r="G6" s="6"/>
      <c r="H6" s="6"/>
      <c r="I6" s="6" t="s">
        <v>305</v>
      </c>
      <c r="J6" s="6"/>
      <c r="K6" s="6"/>
      <c r="L6" s="6"/>
      <c r="M6" s="6"/>
    </row>
    <row r="7" spans="1:13" ht="42" customHeight="1" x14ac:dyDescent="0.35">
      <c r="A7" s="16" t="s">
        <v>306</v>
      </c>
      <c r="B7" s="16" t="s">
        <v>307</v>
      </c>
      <c r="C7" s="16" t="s">
        <v>308</v>
      </c>
      <c r="D7" s="16" t="s">
        <v>309</v>
      </c>
      <c r="E7" s="16" t="s">
        <v>310</v>
      </c>
      <c r="F7" s="16" t="s">
        <v>311</v>
      </c>
      <c r="G7" s="16" t="s">
        <v>312</v>
      </c>
      <c r="H7" s="16" t="s">
        <v>313</v>
      </c>
      <c r="I7" s="16" t="s">
        <v>309</v>
      </c>
      <c r="J7" s="16" t="s">
        <v>310</v>
      </c>
      <c r="K7" s="16" t="s">
        <v>311</v>
      </c>
      <c r="L7" s="16" t="s">
        <v>312</v>
      </c>
      <c r="M7" s="16" t="s">
        <v>314</v>
      </c>
    </row>
    <row r="8" spans="1:13" x14ac:dyDescent="0.35">
      <c r="A8" s="43" t="s">
        <v>315</v>
      </c>
      <c r="B8" s="37">
        <v>18642606.670000002</v>
      </c>
      <c r="C8" s="37">
        <v>215720</v>
      </c>
      <c r="D8" s="37">
        <v>0</v>
      </c>
      <c r="E8" s="37">
        <v>2182722.37</v>
      </c>
      <c r="F8" s="37">
        <v>2182722.37</v>
      </c>
      <c r="G8" s="37">
        <v>1576420.84</v>
      </c>
      <c r="H8" s="37">
        <f t="shared" ref="H8:H19" si="0">B8+C8</f>
        <v>18858326.670000002</v>
      </c>
      <c r="I8" s="37">
        <v>4101141.48</v>
      </c>
      <c r="J8" s="37">
        <v>9478.68</v>
      </c>
      <c r="K8" s="37">
        <v>9478.68</v>
      </c>
      <c r="L8" s="37">
        <v>1485208.4</v>
      </c>
      <c r="M8" s="37">
        <v>0</v>
      </c>
    </row>
    <row r="9" spans="1:13" x14ac:dyDescent="0.35">
      <c r="A9" s="43" t="s">
        <v>316</v>
      </c>
      <c r="B9" s="37">
        <v>10737511.880000001</v>
      </c>
      <c r="C9" s="37">
        <v>212450</v>
      </c>
      <c r="D9" s="37">
        <v>0</v>
      </c>
      <c r="E9" s="37">
        <v>1352864.39</v>
      </c>
      <c r="F9" s="37">
        <v>1352864.39</v>
      </c>
      <c r="G9" s="37">
        <v>1050018.46</v>
      </c>
      <c r="H9" s="37">
        <f t="shared" si="0"/>
        <v>10949961.880000001</v>
      </c>
      <c r="I9" s="37">
        <v>2404567.75</v>
      </c>
      <c r="J9" s="37">
        <v>17645.28</v>
      </c>
      <c r="K9" s="37">
        <v>17645.28</v>
      </c>
      <c r="L9" s="37">
        <v>954471.02</v>
      </c>
      <c r="M9" s="37">
        <v>0</v>
      </c>
    </row>
    <row r="10" spans="1:13" x14ac:dyDescent="0.35">
      <c r="A10" s="43" t="s">
        <v>317</v>
      </c>
      <c r="B10" s="37">
        <v>18198866.850000001</v>
      </c>
      <c r="C10" s="37">
        <v>191150</v>
      </c>
      <c r="D10" s="37">
        <v>0</v>
      </c>
      <c r="E10" s="37">
        <v>2249749.4900000002</v>
      </c>
      <c r="F10" s="37">
        <v>2249749.4900000002</v>
      </c>
      <c r="G10" s="37">
        <v>1716376.85</v>
      </c>
      <c r="H10" s="37">
        <f t="shared" si="0"/>
        <v>18390016.850000001</v>
      </c>
      <c r="I10" s="37">
        <v>3565391.87</v>
      </c>
      <c r="J10" s="37">
        <v>13518.8</v>
      </c>
      <c r="K10" s="37">
        <v>13518.8</v>
      </c>
      <c r="L10" s="37">
        <v>1399843.67</v>
      </c>
      <c r="M10" s="37">
        <v>0</v>
      </c>
    </row>
    <row r="11" spans="1:13" x14ac:dyDescent="0.35">
      <c r="A11" s="43" t="s">
        <v>318</v>
      </c>
      <c r="B11" s="37">
        <v>10653789.5</v>
      </c>
      <c r="C11" s="37">
        <v>198760</v>
      </c>
      <c r="D11" s="37">
        <v>0</v>
      </c>
      <c r="E11" s="37">
        <v>1345581.12</v>
      </c>
      <c r="F11" s="37">
        <v>1345581.12</v>
      </c>
      <c r="G11" s="37">
        <v>1043528.77</v>
      </c>
      <c r="H11" s="37">
        <f t="shared" si="0"/>
        <v>10852549.5</v>
      </c>
      <c r="I11" s="37">
        <v>2554868.85</v>
      </c>
      <c r="J11" s="37">
        <v>5077.05</v>
      </c>
      <c r="K11" s="37">
        <v>5077.05</v>
      </c>
      <c r="L11" s="37">
        <v>1032248.9</v>
      </c>
      <c r="M11" s="37">
        <v>0</v>
      </c>
    </row>
    <row r="12" spans="1:13" x14ac:dyDescent="0.35">
      <c r="A12" s="43" t="s">
        <v>319</v>
      </c>
      <c r="B12" s="37">
        <v>9083304.0299999993</v>
      </c>
      <c r="C12" s="37">
        <v>211400</v>
      </c>
      <c r="D12" s="37">
        <v>0</v>
      </c>
      <c r="E12" s="37">
        <v>1108962.26</v>
      </c>
      <c r="F12" s="37">
        <v>1108962.26</v>
      </c>
      <c r="G12" s="37">
        <v>834074.19</v>
      </c>
      <c r="H12" s="37">
        <f t="shared" si="0"/>
        <v>9294704.0299999993</v>
      </c>
      <c r="I12" s="37">
        <v>2221478.44</v>
      </c>
      <c r="J12" s="37">
        <v>13792.46</v>
      </c>
      <c r="K12" s="37">
        <v>13792.46</v>
      </c>
      <c r="L12" s="37">
        <v>821508.23</v>
      </c>
      <c r="M12" s="37">
        <v>0</v>
      </c>
    </row>
    <row r="13" spans="1:13" x14ac:dyDescent="0.35">
      <c r="A13" s="43" t="s">
        <v>320</v>
      </c>
      <c r="B13" s="37">
        <v>9040419.7899999991</v>
      </c>
      <c r="C13" s="37">
        <v>96910</v>
      </c>
      <c r="D13" s="37">
        <v>0</v>
      </c>
      <c r="E13" s="37">
        <v>1174450.67</v>
      </c>
      <c r="F13" s="37">
        <v>1174450.67</v>
      </c>
      <c r="G13" s="37">
        <v>503564.86</v>
      </c>
      <c r="H13" s="37">
        <f t="shared" si="0"/>
        <v>9137329.7899999991</v>
      </c>
      <c r="I13" s="37">
        <v>2054365.45</v>
      </c>
      <c r="J13" s="37">
        <v>36561.56</v>
      </c>
      <c r="K13" s="37">
        <v>36561.56</v>
      </c>
      <c r="L13" s="37">
        <v>503564.88</v>
      </c>
      <c r="M13" s="37">
        <v>0</v>
      </c>
    </row>
    <row r="14" spans="1:13" x14ac:dyDescent="0.35">
      <c r="A14" s="43" t="s">
        <v>321</v>
      </c>
      <c r="B14" s="37">
        <v>10449275.68</v>
      </c>
      <c r="C14" s="37">
        <v>224780</v>
      </c>
      <c r="D14" s="37">
        <v>0</v>
      </c>
      <c r="E14" s="37">
        <v>1644312.74</v>
      </c>
      <c r="F14" s="37">
        <v>1644312.74</v>
      </c>
      <c r="G14" s="37">
        <v>0</v>
      </c>
      <c r="H14" s="37">
        <f t="shared" si="0"/>
        <v>10674055.68</v>
      </c>
      <c r="I14" s="37">
        <v>3164388.76</v>
      </c>
      <c r="J14" s="37">
        <v>43913.39</v>
      </c>
      <c r="K14" s="37">
        <v>43913.39</v>
      </c>
      <c r="L14" s="37">
        <v>0</v>
      </c>
      <c r="M14" s="37">
        <v>0</v>
      </c>
    </row>
    <row r="15" spans="1:13" x14ac:dyDescent="0.35">
      <c r="A15" s="43" t="s">
        <v>322</v>
      </c>
      <c r="B15" s="37">
        <v>7914236.46</v>
      </c>
      <c r="C15" s="37">
        <v>255360</v>
      </c>
      <c r="D15" s="37">
        <v>0</v>
      </c>
      <c r="E15" s="37">
        <v>1259184.78</v>
      </c>
      <c r="F15" s="37">
        <v>1259184.78</v>
      </c>
      <c r="G15" s="37">
        <v>0</v>
      </c>
      <c r="H15" s="37">
        <f t="shared" si="0"/>
        <v>8169596.46</v>
      </c>
      <c r="I15" s="37">
        <v>3296197.44</v>
      </c>
      <c r="J15" s="37">
        <v>3507.94</v>
      </c>
      <c r="K15" s="37">
        <v>3507.94</v>
      </c>
      <c r="L15" s="37">
        <v>0</v>
      </c>
      <c r="M15" s="37">
        <v>0</v>
      </c>
    </row>
    <row r="16" spans="1:13" x14ac:dyDescent="0.35">
      <c r="A16" s="43" t="s">
        <v>323</v>
      </c>
      <c r="B16" s="37">
        <v>5932243.6600000001</v>
      </c>
      <c r="C16" s="37">
        <v>172100</v>
      </c>
      <c r="D16" s="37">
        <v>342.86</v>
      </c>
      <c r="E16" s="37">
        <v>974411.43</v>
      </c>
      <c r="F16" s="37">
        <v>974411.43</v>
      </c>
      <c r="G16" s="37">
        <v>0</v>
      </c>
      <c r="H16" s="37">
        <f t="shared" si="0"/>
        <v>6104343.6600000001</v>
      </c>
      <c r="I16" s="37">
        <v>1094567.3500000001</v>
      </c>
      <c r="J16" s="37">
        <v>16522.310000000001</v>
      </c>
      <c r="K16" s="37">
        <v>16522.310000000001</v>
      </c>
      <c r="L16" s="37">
        <v>0</v>
      </c>
      <c r="M16" s="37">
        <v>15289.2</v>
      </c>
    </row>
    <row r="17" spans="1:13" x14ac:dyDescent="0.35">
      <c r="A17" s="43" t="s">
        <v>324</v>
      </c>
      <c r="B17" s="37">
        <v>9974903.8100000005</v>
      </c>
      <c r="C17" s="37">
        <v>250150</v>
      </c>
      <c r="D17" s="37">
        <v>0</v>
      </c>
      <c r="E17" s="37">
        <v>1664886.75</v>
      </c>
      <c r="F17" s="37">
        <v>1664886.75</v>
      </c>
      <c r="G17" s="37">
        <v>0</v>
      </c>
      <c r="H17" s="37">
        <f t="shared" si="0"/>
        <v>10225053.810000001</v>
      </c>
      <c r="I17" s="37">
        <v>3262120.32</v>
      </c>
      <c r="J17" s="37">
        <v>38611.07</v>
      </c>
      <c r="K17" s="37">
        <v>38611.07</v>
      </c>
      <c r="L17" s="37">
        <v>0</v>
      </c>
      <c r="M17" s="37">
        <v>15289.2</v>
      </c>
    </row>
    <row r="18" spans="1:13" x14ac:dyDescent="0.35">
      <c r="A18" s="43" t="s">
        <v>325</v>
      </c>
      <c r="B18" s="37">
        <v>11561722.460000001</v>
      </c>
      <c r="C18" s="37">
        <v>268360</v>
      </c>
      <c r="D18" s="37">
        <v>0</v>
      </c>
      <c r="E18" s="37">
        <v>1865032.62</v>
      </c>
      <c r="F18" s="37">
        <v>1865032.62</v>
      </c>
      <c r="G18" s="37">
        <v>0</v>
      </c>
      <c r="H18" s="37">
        <f t="shared" si="0"/>
        <v>11830082.460000001</v>
      </c>
      <c r="I18" s="37">
        <v>3869446.82</v>
      </c>
      <c r="J18" s="37">
        <v>38333.53</v>
      </c>
      <c r="K18" s="37">
        <v>38333.53</v>
      </c>
      <c r="L18" s="37">
        <v>0</v>
      </c>
      <c r="M18" s="37">
        <v>15289.2</v>
      </c>
    </row>
    <row r="19" spans="1:13" x14ac:dyDescent="0.35">
      <c r="A19" s="43" t="s">
        <v>326</v>
      </c>
      <c r="B19" s="37">
        <v>10389617.83</v>
      </c>
      <c r="C19" s="37">
        <v>250065</v>
      </c>
      <c r="D19" s="37">
        <v>10674.89</v>
      </c>
      <c r="E19" s="37">
        <v>1757832.32</v>
      </c>
      <c r="F19" s="37">
        <v>1757832.32</v>
      </c>
      <c r="G19" s="37">
        <v>0</v>
      </c>
      <c r="H19" s="37">
        <f t="shared" si="0"/>
        <v>10639682.83</v>
      </c>
      <c r="I19" s="37">
        <v>4300849.5999999996</v>
      </c>
      <c r="J19" s="37">
        <v>44467.08</v>
      </c>
      <c r="K19" s="37">
        <v>44467.08</v>
      </c>
      <c r="L19" s="37">
        <v>0</v>
      </c>
      <c r="M19" s="37">
        <v>15289.2</v>
      </c>
    </row>
    <row r="20" spans="1:13" x14ac:dyDescent="0.35">
      <c r="A20" s="46" t="s">
        <v>327</v>
      </c>
      <c r="B20" s="47">
        <f t="shared" ref="B20:M20" si="1">SUM(B8:B19)</f>
        <v>132578498.61999999</v>
      </c>
      <c r="C20" s="47">
        <f t="shared" si="1"/>
        <v>2547205</v>
      </c>
      <c r="D20" s="47">
        <f t="shared" si="1"/>
        <v>11017.75</v>
      </c>
      <c r="E20" s="47">
        <f t="shared" si="1"/>
        <v>18579990.940000001</v>
      </c>
      <c r="F20" s="47">
        <f t="shared" si="1"/>
        <v>18579990.940000001</v>
      </c>
      <c r="G20" s="47">
        <f t="shared" si="1"/>
        <v>6723983.9699999997</v>
      </c>
      <c r="H20" s="47">
        <f t="shared" si="1"/>
        <v>135125703.62</v>
      </c>
      <c r="I20" s="47">
        <f t="shared" si="1"/>
        <v>35889384.130000003</v>
      </c>
      <c r="J20" s="47">
        <f t="shared" si="1"/>
        <v>281429.14999999997</v>
      </c>
      <c r="K20" s="47">
        <f t="shared" si="1"/>
        <v>281429.14999999997</v>
      </c>
      <c r="L20" s="47">
        <f t="shared" si="1"/>
        <v>6196845.1000000006</v>
      </c>
      <c r="M20" s="47">
        <f t="shared" si="1"/>
        <v>61156.800000000003</v>
      </c>
    </row>
    <row r="22" spans="1:13" x14ac:dyDescent="0.35">
      <c r="A22" s="48" t="s">
        <v>328</v>
      </c>
    </row>
    <row r="23" spans="1:13" x14ac:dyDescent="0.35">
      <c r="A23" s="5" t="s">
        <v>329</v>
      </c>
      <c r="B23" s="5"/>
      <c r="C23" s="5"/>
      <c r="D23" s="5"/>
      <c r="E23" s="49">
        <f>H20</f>
        <v>135125703.62</v>
      </c>
    </row>
    <row r="24" spans="1:13" x14ac:dyDescent="0.35">
      <c r="A24" s="5" t="s">
        <v>330</v>
      </c>
      <c r="B24" s="5"/>
      <c r="C24" s="5"/>
      <c r="D24" s="5"/>
      <c r="E24" s="49">
        <f>Notes!B150</f>
        <v>135125703.62</v>
      </c>
    </row>
    <row r="25" spans="1:13" x14ac:dyDescent="0.35">
      <c r="A25" s="4" t="s">
        <v>266</v>
      </c>
      <c r="B25" s="4"/>
      <c r="C25" s="4"/>
      <c r="D25" s="4"/>
      <c r="E25" s="50">
        <f>E23-E24</f>
        <v>0</v>
      </c>
    </row>
    <row r="27" spans="1:13" x14ac:dyDescent="0.35">
      <c r="A27" s="7" t="s">
        <v>331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35">
      <c r="A28" s="7" t="s">
        <v>332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31" spans="1:13" x14ac:dyDescent="0.35">
      <c r="A31" s="26" t="s">
        <v>34</v>
      </c>
      <c r="I31" s="26" t="s">
        <v>35</v>
      </c>
    </row>
    <row r="32" spans="1:13" x14ac:dyDescent="0.35">
      <c r="A32" s="25" t="s">
        <v>36</v>
      </c>
      <c r="I32" s="25" t="s">
        <v>0</v>
      </c>
    </row>
    <row r="33" spans="1:9" x14ac:dyDescent="0.35">
      <c r="A33" s="25" t="s">
        <v>37</v>
      </c>
    </row>
    <row r="34" spans="1:9" x14ac:dyDescent="0.35">
      <c r="A34" s="27" t="s">
        <v>38</v>
      </c>
    </row>
    <row r="40" spans="1:9" x14ac:dyDescent="0.35">
      <c r="A40" s="25" t="s">
        <v>39</v>
      </c>
    </row>
    <row r="41" spans="1:9" x14ac:dyDescent="0.35">
      <c r="A41" s="27" t="s">
        <v>40</v>
      </c>
      <c r="I41" s="25" t="s">
        <v>41</v>
      </c>
    </row>
    <row r="42" spans="1:9" x14ac:dyDescent="0.35">
      <c r="A42" s="27" t="s">
        <v>42</v>
      </c>
      <c r="I42" s="27" t="s">
        <v>43</v>
      </c>
    </row>
    <row r="43" spans="1:9" x14ac:dyDescent="0.35">
      <c r="A43" s="27" t="s">
        <v>44</v>
      </c>
    </row>
    <row r="44" spans="1:9" x14ac:dyDescent="0.35">
      <c r="A44" s="27" t="s">
        <v>45</v>
      </c>
    </row>
    <row r="45" spans="1:9" x14ac:dyDescent="0.35">
      <c r="A45" s="27" t="s">
        <v>46</v>
      </c>
    </row>
  </sheetData>
  <mergeCells count="11">
    <mergeCell ref="A23:D23"/>
    <mergeCell ref="A24:D24"/>
    <mergeCell ref="A25:D25"/>
    <mergeCell ref="A27:M27"/>
    <mergeCell ref="A28:M28"/>
    <mergeCell ref="A1:M1"/>
    <mergeCell ref="A2:M2"/>
    <mergeCell ref="A3:M3"/>
    <mergeCell ref="A4:M4"/>
    <mergeCell ref="B6:H6"/>
    <mergeCell ref="I6:M6"/>
  </mergeCells>
  <pageMargins left="0.5" right="0.5" top="0.5" bottom="0.5" header="0.511811023622047" footer="0.511811023622047"/>
  <pageSetup paperSize="9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56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6" customWidth="1"/>
    <col min="2" max="2" width="40" customWidth="1"/>
    <col min="3" max="3" width="10" customWidth="1"/>
    <col min="4" max="4" width="18" customWidth="1"/>
    <col min="5" max="7" width="16" customWidth="1"/>
    <col min="8" max="8" width="14" customWidth="1"/>
  </cols>
  <sheetData>
    <row r="1" spans="1:8" ht="17.399999999999999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</row>
    <row r="3" spans="1:8" ht="15" customHeight="1" x14ac:dyDescent="0.35">
      <c r="A3" s="12" t="s">
        <v>2</v>
      </c>
      <c r="B3" s="12"/>
      <c r="C3" s="12"/>
      <c r="D3" s="12"/>
      <c r="E3" s="12"/>
      <c r="F3" s="12"/>
      <c r="G3" s="12"/>
      <c r="H3" s="12"/>
    </row>
    <row r="4" spans="1:8" ht="19.5" customHeight="1" x14ac:dyDescent="0.35">
      <c r="A4" s="11" t="s">
        <v>333</v>
      </c>
      <c r="B4" s="11"/>
      <c r="C4" s="11"/>
      <c r="D4" s="11"/>
      <c r="E4" s="11"/>
      <c r="F4" s="11"/>
      <c r="G4" s="11"/>
      <c r="H4" s="11"/>
    </row>
    <row r="5" spans="1:8" x14ac:dyDescent="0.35">
      <c r="H5" s="15" t="s">
        <v>4</v>
      </c>
    </row>
    <row r="6" spans="1:8" x14ac:dyDescent="0.35">
      <c r="A6" s="48" t="s">
        <v>334</v>
      </c>
    </row>
    <row r="7" spans="1:8" ht="30" customHeight="1" x14ac:dyDescent="0.35">
      <c r="A7" s="16" t="s">
        <v>258</v>
      </c>
      <c r="B7" s="16" t="s">
        <v>335</v>
      </c>
      <c r="C7" s="16" t="s">
        <v>336</v>
      </c>
      <c r="D7" s="16" t="s">
        <v>208</v>
      </c>
      <c r="E7" s="16" t="s">
        <v>337</v>
      </c>
      <c r="F7" s="16" t="s">
        <v>338</v>
      </c>
      <c r="G7" s="16" t="s">
        <v>339</v>
      </c>
      <c r="H7" s="16" t="s">
        <v>340</v>
      </c>
    </row>
    <row r="8" spans="1:8" x14ac:dyDescent="0.35">
      <c r="A8" s="22">
        <v>1</v>
      </c>
      <c r="B8" s="21" t="s">
        <v>341</v>
      </c>
      <c r="C8" s="22" t="s">
        <v>342</v>
      </c>
      <c r="D8" s="51">
        <v>1E-3</v>
      </c>
      <c r="E8" s="28">
        <v>124325000</v>
      </c>
      <c r="F8" s="28">
        <v>124325</v>
      </c>
      <c r="G8" s="28">
        <v>124325</v>
      </c>
      <c r="H8" s="28">
        <v>0</v>
      </c>
    </row>
    <row r="9" spans="1:8" x14ac:dyDescent="0.35">
      <c r="A9" s="22">
        <v>2</v>
      </c>
      <c r="B9" s="21" t="s">
        <v>343</v>
      </c>
      <c r="C9" s="22" t="s">
        <v>344</v>
      </c>
      <c r="D9" s="51">
        <v>0.1</v>
      </c>
      <c r="E9" s="28">
        <v>1019390</v>
      </c>
      <c r="F9" s="28">
        <v>101939</v>
      </c>
      <c r="G9" s="28">
        <v>101939</v>
      </c>
      <c r="H9" s="28">
        <v>0</v>
      </c>
    </row>
    <row r="10" spans="1:8" x14ac:dyDescent="0.35">
      <c r="A10" s="22">
        <v>3</v>
      </c>
      <c r="B10" s="21" t="s">
        <v>345</v>
      </c>
      <c r="C10" s="22" t="s">
        <v>346</v>
      </c>
      <c r="D10" s="51">
        <v>0.1</v>
      </c>
      <c r="E10" s="28">
        <v>78000</v>
      </c>
      <c r="F10" s="28">
        <v>7800</v>
      </c>
      <c r="G10" s="28">
        <v>7800</v>
      </c>
      <c r="H10" s="28">
        <v>0</v>
      </c>
    </row>
    <row r="11" spans="1:8" x14ac:dyDescent="0.35">
      <c r="A11" s="39"/>
      <c r="B11" s="34" t="s">
        <v>327</v>
      </c>
      <c r="C11" s="39"/>
      <c r="D11" s="39"/>
      <c r="E11" s="31">
        <f>SUM(E8:E10)</f>
        <v>125422390</v>
      </c>
      <c r="F11" s="31">
        <f>SUM(F8:F10)</f>
        <v>234064</v>
      </c>
      <c r="G11" s="31">
        <f>SUM(G8:G10)</f>
        <v>234064</v>
      </c>
      <c r="H11" s="31">
        <f>SUM(H8:H10)</f>
        <v>0</v>
      </c>
    </row>
    <row r="12" spans="1:8" x14ac:dyDescent="0.35">
      <c r="B12" s="42" t="s">
        <v>347</v>
      </c>
    </row>
    <row r="15" spans="1:8" x14ac:dyDescent="0.35">
      <c r="A15" s="48" t="s">
        <v>348</v>
      </c>
    </row>
    <row r="16" spans="1:8" ht="30" customHeight="1" x14ac:dyDescent="0.35">
      <c r="A16" s="16" t="s">
        <v>349</v>
      </c>
      <c r="B16" s="16" t="s">
        <v>350</v>
      </c>
      <c r="C16" s="16" t="s">
        <v>351</v>
      </c>
      <c r="D16" s="16" t="s">
        <v>352</v>
      </c>
      <c r="E16" s="16" t="s">
        <v>353</v>
      </c>
      <c r="F16" s="16" t="s">
        <v>354</v>
      </c>
      <c r="G16" s="16" t="s">
        <v>338</v>
      </c>
      <c r="H16" s="16" t="s">
        <v>339</v>
      </c>
    </row>
    <row r="17" spans="1:8" x14ac:dyDescent="0.35">
      <c r="A17" s="22" t="s">
        <v>355</v>
      </c>
      <c r="B17" s="21" t="s">
        <v>356</v>
      </c>
      <c r="C17" s="52">
        <v>45867</v>
      </c>
      <c r="D17" s="52">
        <v>45869</v>
      </c>
      <c r="E17" s="22" t="s">
        <v>357</v>
      </c>
      <c r="F17" s="28">
        <v>41180302.890000001</v>
      </c>
      <c r="G17" s="28">
        <v>68338.02</v>
      </c>
      <c r="H17" s="28">
        <v>68377</v>
      </c>
    </row>
    <row r="18" spans="1:8" x14ac:dyDescent="0.35">
      <c r="A18" s="22" t="s">
        <v>358</v>
      </c>
      <c r="B18" s="21" t="s">
        <v>359</v>
      </c>
      <c r="C18" s="52">
        <v>45938</v>
      </c>
      <c r="D18" s="52">
        <v>45961</v>
      </c>
      <c r="E18" s="22" t="s">
        <v>357</v>
      </c>
      <c r="F18" s="28">
        <v>27239229</v>
      </c>
      <c r="G18" s="28">
        <v>54396.91</v>
      </c>
      <c r="H18" s="28">
        <v>54431</v>
      </c>
    </row>
    <row r="19" spans="1:8" x14ac:dyDescent="0.35">
      <c r="A19" s="22" t="s">
        <v>360</v>
      </c>
      <c r="B19" s="21" t="s">
        <v>361</v>
      </c>
      <c r="C19" s="52">
        <v>46041</v>
      </c>
      <c r="D19" s="52">
        <v>46053</v>
      </c>
      <c r="E19" s="22" t="s">
        <v>357</v>
      </c>
      <c r="F19" s="28">
        <v>23210793</v>
      </c>
      <c r="G19" s="28">
        <v>50368.52</v>
      </c>
      <c r="H19" s="28">
        <v>50402</v>
      </c>
    </row>
    <row r="20" spans="1:8" x14ac:dyDescent="0.35">
      <c r="A20" s="22" t="s">
        <v>362</v>
      </c>
      <c r="B20" s="21" t="s">
        <v>363</v>
      </c>
      <c r="C20" s="52">
        <v>46147</v>
      </c>
      <c r="D20" s="52">
        <v>46173</v>
      </c>
      <c r="E20" s="22" t="s">
        <v>357</v>
      </c>
      <c r="F20" s="28">
        <v>33663384</v>
      </c>
      <c r="G20" s="28">
        <v>60820.99</v>
      </c>
      <c r="H20" s="28">
        <v>60855</v>
      </c>
    </row>
    <row r="21" spans="1:8" x14ac:dyDescent="0.35">
      <c r="A21" s="39"/>
      <c r="B21" s="34" t="s">
        <v>327</v>
      </c>
      <c r="C21" s="39"/>
      <c r="D21" s="39"/>
      <c r="E21" s="39"/>
      <c r="F21" s="31">
        <f>SUM(F17:F20)</f>
        <v>125293708.89</v>
      </c>
      <c r="G21" s="31">
        <f>SUM(G17:G20)</f>
        <v>233924.44</v>
      </c>
      <c r="H21" s="31">
        <f>SUM(H17:H20)</f>
        <v>234065</v>
      </c>
    </row>
    <row r="24" spans="1:8" x14ac:dyDescent="0.35">
      <c r="A24" s="48" t="s">
        <v>364</v>
      </c>
    </row>
    <row r="25" spans="1:8" ht="30" customHeight="1" x14ac:dyDescent="0.35">
      <c r="A25" s="16" t="s">
        <v>258</v>
      </c>
      <c r="B25" s="16" t="s">
        <v>5</v>
      </c>
      <c r="C25" s="16" t="s">
        <v>336</v>
      </c>
      <c r="D25" s="16" t="s">
        <v>365</v>
      </c>
      <c r="E25" s="16" t="s">
        <v>366</v>
      </c>
      <c r="F25" s="16" t="s">
        <v>352</v>
      </c>
      <c r="G25" s="16" t="s">
        <v>367</v>
      </c>
      <c r="H25" s="16" t="s">
        <v>353</v>
      </c>
    </row>
    <row r="26" spans="1:8" x14ac:dyDescent="0.35">
      <c r="A26" s="22">
        <v>1</v>
      </c>
      <c r="B26" s="21" t="s">
        <v>368</v>
      </c>
      <c r="C26" s="22" t="s">
        <v>342</v>
      </c>
      <c r="D26" s="22" t="s">
        <v>369</v>
      </c>
      <c r="E26" s="22" t="s">
        <v>370</v>
      </c>
      <c r="F26" s="22" t="s">
        <v>371</v>
      </c>
      <c r="G26" s="28">
        <v>13107</v>
      </c>
      <c r="H26" s="22" t="s">
        <v>372</v>
      </c>
    </row>
    <row r="27" spans="1:8" x14ac:dyDescent="0.35">
      <c r="A27" s="22">
        <v>2</v>
      </c>
      <c r="B27" s="21" t="s">
        <v>368</v>
      </c>
      <c r="C27" s="22" t="s">
        <v>344</v>
      </c>
      <c r="D27" s="22" t="s">
        <v>369</v>
      </c>
      <c r="E27" s="22" t="s">
        <v>370</v>
      </c>
      <c r="F27" s="22" t="s">
        <v>371</v>
      </c>
      <c r="G27" s="28">
        <v>8495</v>
      </c>
      <c r="H27" s="22" t="s">
        <v>372</v>
      </c>
    </row>
    <row r="28" spans="1:8" x14ac:dyDescent="0.35">
      <c r="A28" s="22">
        <v>3</v>
      </c>
      <c r="B28" s="21" t="s">
        <v>368</v>
      </c>
      <c r="C28" s="22" t="s">
        <v>346</v>
      </c>
      <c r="D28" s="22" t="s">
        <v>369</v>
      </c>
      <c r="E28" s="22" t="s">
        <v>370</v>
      </c>
      <c r="F28" s="22" t="s">
        <v>371</v>
      </c>
      <c r="G28" s="28">
        <v>650</v>
      </c>
      <c r="H28" s="22" t="s">
        <v>372</v>
      </c>
    </row>
    <row r="29" spans="1:8" x14ac:dyDescent="0.35">
      <c r="A29" s="39"/>
      <c r="B29" s="34" t="s">
        <v>327</v>
      </c>
      <c r="C29" s="39"/>
      <c r="D29" s="39"/>
      <c r="E29" s="39"/>
      <c r="F29" s="39"/>
      <c r="G29" s="31">
        <f>SUM(G26:G28)</f>
        <v>22252</v>
      </c>
      <c r="H29" s="39"/>
    </row>
    <row r="32" spans="1:8" x14ac:dyDescent="0.35">
      <c r="A32" s="48" t="s">
        <v>373</v>
      </c>
    </row>
    <row r="33" spans="1:8" ht="30" customHeight="1" x14ac:dyDescent="0.35">
      <c r="A33" s="16" t="s">
        <v>349</v>
      </c>
      <c r="B33" s="16" t="s">
        <v>374</v>
      </c>
      <c r="C33" s="16" t="s">
        <v>375</v>
      </c>
      <c r="D33" s="16" t="s">
        <v>376</v>
      </c>
      <c r="E33" s="3" t="s">
        <v>377</v>
      </c>
      <c r="F33" s="3"/>
      <c r="G33" s="16" t="s">
        <v>378</v>
      </c>
      <c r="H33" s="16" t="s">
        <v>379</v>
      </c>
    </row>
    <row r="34" spans="1:8" ht="15" customHeight="1" x14ac:dyDescent="0.35">
      <c r="A34" s="22" t="s">
        <v>355</v>
      </c>
      <c r="B34" s="22" t="s">
        <v>380</v>
      </c>
      <c r="C34" s="22" t="s">
        <v>381</v>
      </c>
      <c r="D34" s="22" t="s">
        <v>382</v>
      </c>
      <c r="E34" s="2" t="s">
        <v>383</v>
      </c>
      <c r="F34" s="2"/>
      <c r="G34" s="22" t="s">
        <v>384</v>
      </c>
      <c r="H34" s="22" t="s">
        <v>385</v>
      </c>
    </row>
    <row r="35" spans="1:8" ht="15" customHeight="1" x14ac:dyDescent="0.35">
      <c r="A35" s="22" t="s">
        <v>358</v>
      </c>
      <c r="B35" s="22" t="s">
        <v>386</v>
      </c>
      <c r="C35" s="22" t="s">
        <v>381</v>
      </c>
      <c r="D35" s="22" t="s">
        <v>387</v>
      </c>
      <c r="E35" s="2" t="s">
        <v>388</v>
      </c>
      <c r="F35" s="2"/>
      <c r="G35" s="22" t="s">
        <v>384</v>
      </c>
      <c r="H35" s="22" t="s">
        <v>385</v>
      </c>
    </row>
    <row r="36" spans="1:8" ht="15" customHeight="1" x14ac:dyDescent="0.35">
      <c r="A36" s="22" t="s">
        <v>360</v>
      </c>
      <c r="B36" s="22" t="s">
        <v>389</v>
      </c>
      <c r="C36" s="22" t="s">
        <v>381</v>
      </c>
      <c r="D36" s="22" t="s">
        <v>390</v>
      </c>
      <c r="E36" s="2" t="s">
        <v>391</v>
      </c>
      <c r="F36" s="2"/>
      <c r="G36" s="22" t="s">
        <v>384</v>
      </c>
      <c r="H36" s="22" t="s">
        <v>385</v>
      </c>
    </row>
    <row r="37" spans="1:8" ht="15" customHeight="1" x14ac:dyDescent="0.35">
      <c r="A37" s="53" t="s">
        <v>362</v>
      </c>
      <c r="B37" s="53" t="s">
        <v>392</v>
      </c>
      <c r="C37" s="53" t="s">
        <v>393</v>
      </c>
      <c r="D37" s="53" t="s">
        <v>394</v>
      </c>
      <c r="E37" s="1" t="s">
        <v>395</v>
      </c>
      <c r="F37" s="1"/>
      <c r="G37" s="53" t="s">
        <v>384</v>
      </c>
      <c r="H37" s="53" t="s">
        <v>385</v>
      </c>
    </row>
    <row r="39" spans="1:8" x14ac:dyDescent="0.35">
      <c r="B39" s="42" t="s">
        <v>396</v>
      </c>
    </row>
    <row r="42" spans="1:8" x14ac:dyDescent="0.35">
      <c r="B42" s="26" t="s">
        <v>34</v>
      </c>
      <c r="E42" s="26" t="s">
        <v>35</v>
      </c>
    </row>
    <row r="43" spans="1:8" x14ac:dyDescent="0.35">
      <c r="B43" s="25" t="s">
        <v>36</v>
      </c>
      <c r="E43" s="25" t="s">
        <v>0</v>
      </c>
    </row>
    <row r="44" spans="1:8" x14ac:dyDescent="0.35">
      <c r="B44" s="25" t="s">
        <v>37</v>
      </c>
    </row>
    <row r="45" spans="1:8" x14ac:dyDescent="0.35">
      <c r="B45" s="27" t="s">
        <v>38</v>
      </c>
    </row>
    <row r="51" spans="2:5" x14ac:dyDescent="0.35">
      <c r="B51" s="25" t="s">
        <v>39</v>
      </c>
    </row>
    <row r="52" spans="2:5" x14ac:dyDescent="0.35">
      <c r="B52" s="27" t="s">
        <v>40</v>
      </c>
      <c r="E52" s="25" t="s">
        <v>41</v>
      </c>
    </row>
    <row r="53" spans="2:5" x14ac:dyDescent="0.35">
      <c r="B53" s="27" t="s">
        <v>42</v>
      </c>
      <c r="E53" s="27" t="s">
        <v>43</v>
      </c>
    </row>
    <row r="54" spans="2:5" x14ac:dyDescent="0.35">
      <c r="B54" s="27" t="s">
        <v>44</v>
      </c>
    </row>
    <row r="55" spans="2:5" x14ac:dyDescent="0.35">
      <c r="B55" s="27" t="s">
        <v>45</v>
      </c>
    </row>
    <row r="56" spans="2:5" x14ac:dyDescent="0.35">
      <c r="B56" s="27" t="s">
        <v>46</v>
      </c>
    </row>
  </sheetData>
  <mergeCells count="9">
    <mergeCell ref="E34:F34"/>
    <mergeCell ref="E35:F35"/>
    <mergeCell ref="E36:F36"/>
    <mergeCell ref="E37:F37"/>
    <mergeCell ref="A1:H1"/>
    <mergeCell ref="A2:H2"/>
    <mergeCell ref="A3:H3"/>
    <mergeCell ref="A4:H4"/>
    <mergeCell ref="E33:F33"/>
  </mergeCells>
  <pageMargins left="0.5" right="0.5" top="0.5" bottom="0.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Balance Sheet</vt:lpstr>
      <vt:lpstr>Profit &amp; Loss</vt:lpstr>
      <vt:lpstr>Notes</vt:lpstr>
      <vt:lpstr>Sch A - Depreciation</vt:lpstr>
      <vt:lpstr>Sch B - Borrowings</vt:lpstr>
      <vt:lpstr>Sch C - GST</vt:lpstr>
      <vt:lpstr>Sch D - TDS</vt:lpstr>
      <vt:lpstr>'Balance Sheet'!Print_Area</vt:lpstr>
      <vt:lpstr>Notes!Print_Area</vt:lpstr>
      <vt:lpstr>'Profit &amp; Loss'!Print_Area</vt:lpstr>
      <vt:lpstr>'Sch A - Depreciation'!Print_Area</vt:lpstr>
      <vt:lpstr>'Sch B - Borrowings'!Print_Area</vt:lpstr>
      <vt:lpstr>'Sch C - GST'!Print_Area</vt:lpstr>
      <vt:lpstr>'Sch D - TDS'!Print_Area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Saddab Akhtar</cp:lastModifiedBy>
  <cp:revision>0</cp:revision>
  <dcterms:created xsi:type="dcterms:W3CDTF">2026-09-27T21:53:40Z</dcterms:created>
  <dcterms:modified xsi:type="dcterms:W3CDTF">2026-09-27T22:01:06Z</dcterms:modified>
  <dc:language>en-US</dc:language>
</cp:coreProperties>
</file>