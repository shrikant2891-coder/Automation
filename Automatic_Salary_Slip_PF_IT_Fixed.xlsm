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<sst xmlns="http://schemas.openxmlformats.org/spreadsheetml/2006/main" count="774" uniqueCount="407">
  <si>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</si>
  <si>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</si>
  <si>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</si>
  <si>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</si>
  <si>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</si>
  <si>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</si>
  <si>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</si>
  <si>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</si>
  <si>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</si>
  <si>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</si>
  <si>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</si>
  <si>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</si>
  <si>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</si>
  <si>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</si>
  <si>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</si>
  <si>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</si>
  <si>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</si>
  <si>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</si>
  <si>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</si>
  <si>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</si>
  <si>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</si>
  <si>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</si>
  <si>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</si>
  <si>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</si>
  <si>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</si>
  <si>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</si>
  <si>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</si>
  <si>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</si>
  <si>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</si>
  <si>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</si>
  <si>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</si>
  <si>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</si>
  <si>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</si>
  <si>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</si>
  <si>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</si>
  <si>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</si>
  <si>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</si>
  <si>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</si>
  <si>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</si>
  <si>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</si>
  <si>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</si>
  <si>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</si>
  <si>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</si>
  <si>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</si>
  <si>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</si>
  <si>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</si>
  <si>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</si>
  <si>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</si>
  <si>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</si>
  <si>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</si>
  <si>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</si>
  <si>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</si>
  <si>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</si>
  <si>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</si>
  <si>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</si>
  <si>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</si>
  <si>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</si>
  <si>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</si>
  <si>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</si>
  <si>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</si>
  <si>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</si>
  <si>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</si>
  <si>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</si>
  <si>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</si>
  <si>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</si>
  <si>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</si>
  <si>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</si>
  <si>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</si>
  <si>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</si>
  <si>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</si>
  <si>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</si>
  <si>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</si>
  <si>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</si>
  <si>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</si>
  <si>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</si>
  <si>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</si>
  <si>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</si>
  <si>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</si>
  <si>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</si>
  <si>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</si>
  <si>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</si>
  <si>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</si>
  <si>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</si>
  <si>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>Tip: "Generate Current Slip" exports just the employee/month shown above. "Generate All Slips" loops every employee for the selected month and saves one PDF each.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</si>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</sst>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2-75000&lt;=1200000,0,MIN((MAX(0,MIN(D2-75000,400000)-0)*0+MAX(0,MIN(D2-75000,800000)-400000)*0.05+MAX(0,MIN(D2-75000,1200000)-800000)*0.10+MAX(0,MIN(D2-75000,1600000)-1200000)*0.15+MAX(0,MIN(D2-75000,2000000)-1600000)*0.20+MAX(0,MIN(D2-75000,2400000)-2000000)*0.25+MAX(0,(D2-75000)-2400000)*0.30)*1.04,D2-75000-1200000)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3-75000&lt;=1200000,0,MIN((MAX(0,MIN(D3-75000,400000)-0)*0+MAX(0,MIN(D3-75000,800000)-400000)*0.05+MAX(0,MIN(D3-75000,1200000)-800000)*0.10+MAX(0,MIN(D3-75000,1600000)-1200000)*0.15+MAX(0,MIN(D3-75000,2000000)-1600000)*0.20+MAX(0,MIN(D3-75000,2400000)-2000000)*0.25+MAX(0,(D3-75000)-2400000)*0.30)*1.04,D3-75000-1200000)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4-75000&lt;=1200000,0,MIN((MAX(0,MIN(D4-75000,400000)-0)*0+MAX(0,MIN(D4-75000,800000)-400000)*0.05+MAX(0,MIN(D4-75000,1200000)-800000)*0.10+MAX(0,MIN(D4-75000,1600000)-1200000)*0.15+MAX(0,MIN(D4-75000,2000000)-1600000)*0.20+MAX(0,MIN(D4-75000,2400000)-2000000)*0.25+MAX(0,(D4-75000)-2400000)*0.30)*1.04,D4-75000-1200000)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5-75000&lt;=1200000,0,MIN((MAX(0,MIN(D5-75000,400000)-0)*0+MAX(0,MIN(D5-75000,800000)-400000)*0.05+MAX(0,MIN(D5-75000,1200000)-800000)*0.10+MAX(0,MIN(D5-75000,1600000)-1200000)*0.15+MAX(0,MIN(D5-75000,2000000)-1600000)*0.20+MAX(0,MIN(D5-75000,2400000)-2000000)*0.25+MAX(0,(D5-75000)-2400000)*0.30)*1.04,D5-75000-1200000)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6-75000&lt;=1200000,0,MIN((MAX(0,MIN(D6-75000,400000)-0)*0+MAX(0,MIN(D6-75000,800000)-400000)*0.05+MAX(0,MIN(D6-75000,1200000)-800000)*0.10+MAX(0,MIN(D6-75000,1600000)-1200000)*0.15+MAX(0,MIN(D6-75000,2000000)-1600000)*0.20+MAX(0,MIN(D6-75000,2400000)-2000000)*0.25+MAX(0,(D6-75000)-2400000)*0.30)*1.04,D6-75000-1200000)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7-75000&lt;=1200000,0,MIN((MAX(0,MIN(D7-75000,400000)-0)*0+MAX(0,MIN(D7-75000,800000)-400000)*0.05+MAX(0,MIN(D7-75000,1200000)-800000)*0.10+MAX(0,MIN(D7-75000,1600000)-1200000)*0.15+MAX(0,MIN(D7-75000,2000000)-1600000)*0.20+MAX(0,MIN(D7-75000,2400000)-2000000)*0.25+MAX(0,(D7-75000)-2400000)*0.30)*1.04,D7-75000-1200000)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8-75000&lt;=1200000,0,MIN((MAX(0,MIN(D8-75000,400000)-0)*0+MAX(0,MIN(D8-75000,800000)-400000)*0.05+MAX(0,MIN(D8-75000,1200000)-800000)*0.10+MAX(0,MIN(D8-75000,1600000)-1200000)*0.15+MAX(0,MIN(D8-75000,2000000)-1600000)*0.20+MAX(0,MIN(D8-75000,2400000)-2000000)*0.25+MAX(0,(D8-75000)-2400000)*0.30)*1.04,D8-75000-1200000)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9-75000&lt;=1200000,0,MIN((MAX(0,MIN(D9-75000,400000)-0)*0+MAX(0,MIN(D9-75000,800000)-400000)*0.05+MAX(0,MIN(D9-75000,1200000)-800000)*0.10+MAX(0,MIN(D9-75000,1600000)-1200000)*0.15+MAX(0,MIN(D9-75000,2000000)-1600000)*0.20+MAX(0,MIN(D9-75000,2400000)-2000000)*0.25+MAX(0,(D9-75000)-2400000)*0.30)*1.04,D9-75000-1200000)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10-75000&lt;=1200000,0,MIN((MAX(0,MIN(D10-75000,400000)-0)*0+MAX(0,MIN(D10-75000,800000)-400000)*0.05+MAX(0,MIN(D10-75000,1200000)-800000)*0.10+MAX(0,MIN(D10-75000,1600000)-1200000)*0.15+MAX(0,MIN(D10-75000,2000000)-1600000)*0.20+MAX(0,MIN(D10-75000,2400000)-2000000)*0.25+MAX(0,(D10-75000)-2400000)*0.30)*1.04,D10-75000-1200000)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11-75000&lt;=1200000,0,MIN((MAX(0,MIN(D11-75000,400000)-0)*0+MAX(0,MIN(D11-75000,800000)-400000)*0.05+MAX(0,MIN(D11-75000,1200000)-800000)*0.10+MAX(0,MIN(D11-75000,1600000)-1200000)*0.15+MAX(0,MIN(D11-75000,2000000)-1600000)*0.20+MAX(0,MIN(D11-75000,2400000)-2000000)*0.25+MAX(0,(D11-75000)-2400000)*0.30)*1.04,D11-75000-1200000)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12-75000&lt;=1200000,0,MIN((MAX(0,MIN(D12-75000,400000)-0)*0+MAX(0,MIN(D12-75000,800000)-400000)*0.05+MAX(0,MIN(D12-75000,1200000)-800000)*0.10+MAX(0,MIN(D12-75000,1600000)-1200000)*0.15+MAX(0,MIN(D12-75000,2000000)-1600000)*0.20+MAX(0,MIN(D12-75000,2400000)-2000000)*0.25+MAX(0,(D12-75000)-2400000)*0.30)*1.04,D12-75000-1200000)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13-75000&lt;=1200000,0,MIN((MAX(0,MIN(D13-75000,400000)-0)*0+MAX(0,MIN(D13-75000,800000)-400000)*0.05+MAX(0,MIN(D13-75000,1200000)-800000)*0.10+MAX(0,MIN(D13-75000,1600000)-1200000)*0.15+MAX(0,MIN(D13-75000,2000000)-1600000)*0.20+MAX(0,MIN(D13-75000,2400000)-2000000)*0.25+MAX(0,(D13-75000)-2400000)*0.30)*1.04,D13-75000-1200000)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14-75000&lt;=1200000,0,MIN((MAX(0,MIN(D14-75000,400000)-0)*0+MAX(0,MIN(D14-75000,800000)-400000)*0.05+MAX(0,MIN(D14-75000,1200000)-800000)*0.10+MAX(0,MIN(D14-75000,1600000)-1200000)*0.15+MAX(0,MIN(D14-75000,2000000)-1600000)*0.20+MAX(0,MIN(D14-75000,2400000)-2000000)*0.25+MAX(0,(D14-75000)-2400000)*0.30)*1.04,D14-75000-1200000)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15-75000&lt;=1200000,0,MIN((MAX(0,MIN(D15-75000,400000)-0)*0+MAX(0,MIN(D15-75000,800000)-400000)*0.05+MAX(0,MIN(D15-75000,1200000)-800000)*0.10+MAX(0,MIN(D15-75000,1600000)-1200000)*0.15+MAX(0,MIN(D15-75000,2000000)-1600000)*0.20+MAX(0,MIN(D15-75000,2400000)-2000000)*0.25+MAX(0,(D15-75000)-2400000)*0.30)*1.04,D15-75000-1200000)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16-75000&lt;=1200000,0,MIN((MAX(0,MIN(D16-75000,400000)-0)*0+MAX(0,MIN(D16-75000,800000)-400000)*0.05+MAX(0,MIN(D16-75000,1200000)-800000)*0.10+MAX(0,MIN(D16-75000,1600000)-1200000)*0.15+MAX(0,MIN(D16-75000,2000000)-1600000)*0.20+MAX(0,MIN(D16-75000,2400000)-2000000)*0.25+MAX(0,(D16-75000)-2400000)*0.30)*1.04,D16-75000-1200000)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17-75000&lt;=1200000,0,MIN((MAX(0,MIN(D17-75000,400000)-0)*0+MAX(0,MIN(D17-75000,800000)-400000)*0.05+MAX(0,MIN(D17-75000,1200000)-800000)*0.10+MAX(0,MIN(D17-75000,1600000)-1200000)*0.15+MAX(0,MIN(D17-75000,2000000)-1600000)*0.20+MAX(0,MIN(D17-75000,2400000)-2000000)*0.25+MAX(0,(D17-75000)-2400000)*0.30)*1.04,D17-75000-1200000)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18-75000&lt;=1200000,0,MIN((MAX(0,MIN(D18-75000,400000)-0)*0+MAX(0,MIN(D18-75000,800000)-400000)*0.05+MAX(0,MIN(D18-75000,1200000)-800000)*0.10+MAX(0,MIN(D18-75000,1600000)-1200000)*0.15+MAX(0,MIN(D18-75000,2000000)-1600000)*0.20+MAX(0,MIN(D18-75000,2400000)-2000000)*0.25+MAX(0,(D18-75000)-2400000)*0.30)*1.04,D18-75000-1200000)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19-75000&lt;=1200000,0,MIN((MAX(0,MIN(D19-75000,400000)-0)*0+MAX(0,MIN(D19-75000,800000)-400000)*0.05+MAX(0,MIN(D19-75000,1200000)-800000)*0.10+MAX(0,MIN(D19-75000,1600000)-1200000)*0.15+MAX(0,MIN(D19-75000,2000000)-1600000)*0.20+MAX(0,MIN(D19-75000,2400000)-2000000)*0.25+MAX(0,(D19-75000)-2400000)*0.30)*1.04,D19-75000-1200000)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20-75000&lt;=1200000,0,MIN((MAX(0,MIN(D20-75000,400000)-0)*0+MAX(0,MIN(D20-75000,800000)-400000)*0.05+MAX(0,MIN(D20-75000,1200000)-800000)*0.10+MAX(0,MIN(D20-75000,1600000)-1200000)*0.15+MAX(0,MIN(D20-75000,2000000)-1600000)*0.20+MAX(0,MIN(D20-75000,2400000)-2000000)*0.25+MAX(0,(D20-75000)-2400000)*0.30)*1.04,D20-75000-1200000)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21-75000&lt;=1200000,0,MIN((MAX(0,MIN(D21-75000,400000)-0)*0+MAX(0,MIN(D21-75000,800000)-400000)*0.05+MAX(0,MIN(D21-75000,1200000)-800000)*0.10+MAX(0,MIN(D21-75000,1600000)-1200000)*0.15+MAX(0,MIN(D21-75000,2000000)-1600000)*0.20+MAX(0,MIN(D21-75000,2400000)-2000000)*0.25+MAX(0,(D21-75000)-2400000)*0.30)*1.04,D21-75000-1200000)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22-75000&lt;=1200000,0,MIN((MAX(0,MIN(D22-75000,400000)-0)*0+MAX(0,MIN(D22-75000,800000)-400000)*0.05+MAX(0,MIN(D22-75000,1200000)-800000)*0.10+MAX(0,MIN(D22-75000,1600000)-1200000)*0.15+MAX(0,MIN(D22-75000,2000000)-1600000)*0.20+MAX(0,MIN(D22-75000,2400000)-2000000)*0.25+MAX(0,(D22-75000)-2400000)*0.30)*1.04,D22-75000-1200000)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23-75000&lt;=1200000,0,MIN((MAX(0,MIN(D23-75000,400000)-0)*0+MAX(0,MIN(D23-75000,800000)-400000)*0.05+MAX(0,MIN(D23-75000,1200000)-800000)*0.10+MAX(0,MIN(D23-75000,1600000)-1200000)*0.15+MAX(0,MIN(D23-75000,2000000)-1600000)*0.20+MAX(0,MIN(D23-75000,2400000)-2000000)*0.25+MAX(0,(D23-75000)-2400000)*0.30)*1.04,D23-75000-1200000)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24-75000&lt;=1200000,0,MIN((MAX(0,MIN(D24-75000,400000)-0)*0+MAX(0,MIN(D24-75000,800000)-400000)*0.05+MAX(0,MIN(D24-75000,1200000)-800000)*0.10+MAX(0,MIN(D24-75000,1600000)-1200000)*0.15+MAX(0,MIN(D24-75000,2000000)-1600000)*0.20+MAX(0,MIN(D24-75000,2400000)-2000000)*0.25+MAX(0,(D24-75000)-2400000)*0.30)*1.04,D24-75000-1200000)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25-75000&lt;=1200000,0,MIN((MAX(0,MIN(D25-75000,400000)-0)*0+MAX(0,MIN(D25-75000,800000)-400000)*0.05+MAX(0,MIN(D25-75000,1200000)-800000)*0.10+MAX(0,MIN(D25-75000,1600000)-1200000)*0.15+MAX(0,MIN(D25-75000,2000000)-1600000)*0.20+MAX(0,MIN(D25-75000,2400000)-2000000)*0.25+MAX(0,(D25-75000)-2400000)*0.30)*1.04,D25-75000-1200000)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26-75000&lt;=1200000,0,MIN((MAX(0,MIN(D26-75000,400000)-0)*0+MAX(0,MIN(D26-75000,800000)-400000)*0.05+MAX(0,MIN(D26-75000,1200000)-800000)*0.10+MAX(0,MIN(D26-75000,1600000)-1200000)*0.15+MAX(0,MIN(D26-75000,2000000)-1600000)*0.20+MAX(0,MIN(D26-75000,2400000)-2000000)*0.25+MAX(0,(D26-75000)-2400000)*0.30)*1.04,D26-75000-1200000)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27-75000&lt;=1200000,0,MIN((MAX(0,MIN(D27-75000,400000)-0)*0+MAX(0,MIN(D27-75000,800000)-400000)*0.05+MAX(0,MIN(D27-75000,1200000)-800000)*0.10+MAX(0,MIN(D27-75000,1600000)-1200000)*0.15+MAX(0,MIN(D27-75000,2000000)-1600000)*0.20+MAX(0,MIN(D27-75000,2400000)-2000000)*0.25+MAX(0,(D27-75000)-2400000)*0.30)*1.04,D27-75000-1200000)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28-75000&lt;=1200000,0,MIN((MAX(0,MIN(D28-75000,400000)-0)*0+MAX(0,MIN(D28-75000,800000)-400000)*0.05+MAX(0,MIN(D28-75000,1200000)-800000)*0.10+MAX(0,MIN(D28-75000,1600000)-1200000)*0.15+MAX(0,MIN(D28-75000,2000000)-1600000)*0.20+MAX(0,MIN(D28-75000,2400000)-2000000)*0.25+MAX(0,(D28-75000)-2400000)*0.30)*1.04,D28-75000-1200000)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29-75000&lt;=1200000,0,MIN((MAX(0,MIN(D29-75000,400000)-0)*0+MAX(0,MIN(D29-75000,800000)-400000)*0.05+MAX(0,MIN(D29-75000,1200000)-800000)*0.10+MAX(0,MIN(D29-75000,1600000)-1200000)*0.15+MAX(0,MIN(D29-75000,2000000)-1600000)*0.20+MAX(0,MIN(D29-75000,2400000)-2000000)*0.25+MAX(0,(D29-75000)-2400000)*0.30)*1.04,D29-75000-1200000)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30-75000&lt;=1200000,0,MIN((MAX(0,MIN(D30-75000,400000)-0)*0+MAX(0,MIN(D30-75000,800000)-400000)*0.05+MAX(0,MIN(D30-75000,1200000)-800000)*0.10+MAX(0,MIN(D30-75000,1600000)-1200000)*0.15+MAX(0,MIN(D30-75000,2000000)-1600000)*0.20+MAX(0,MIN(D30-75000,2400000)-2000000)*0.25+MAX(0,(D30-75000)-2400000)*0.30)*1.04,D30-75000-1200000)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31-75000&lt;=1200000,0,MIN((MAX(0,MIN(D31-75000,400000)-0)*0+MAX(0,MIN(D31-75000,800000)-400000)*0.05+MAX(0,MIN(D31-75000,1200000)-800000)*0.10+MAX(0,MIN(D31-75000,1600000)-1200000)*0.15+MAX(0,MIN(D31-75000,2000000)-1600000)*0.20+MAX(0,MIN(D31-75000,2400000)-2000000)*0.25+MAX(0,(D31-75000)-2400000)*0.30)*1.04,D31-75000-1200000)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32-75000&lt;=1200000,0,MIN((MAX(0,MIN(D32-75000,400000)-0)*0+MAX(0,MIN(D32-75000,800000)-400000)*0.05+MAX(0,MIN(D32-75000,1200000)-800000)*0.10+MAX(0,MIN(D32-75000,1600000)-1200000)*0.15+MAX(0,MIN(D32-75000,2000000)-1600000)*0.20+MAX(0,MIN(D32-75000,2400000)-2000000)*0.25+MAX(0,(D32-75000)-2400000)*0.30)*1.04,D32-75000-1200000)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33-75000&lt;=1200000,0,MIN((MAX(0,MIN(D33-75000,400000)-0)*0+MAX(0,MIN(D33-75000,800000)-400000)*0.05+MAX(0,MIN(D33-75000,1200000)-800000)*0.10+MAX(0,MIN(D33-75000,1600000)-1200000)*0.15+MAX(0,MIN(D33-75000,2000000)-1600000)*0.20+MAX(0,MIN(D33-75000,2400000)-2000000)*0.25+MAX(0,(D33-75000)-2400000)*0.30)*1.04,D33-75000-1200000)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34-75000&lt;=1200000,0,MIN((MAX(0,MIN(D34-75000,400000)-0)*0+MAX(0,MIN(D34-75000,800000)-400000)*0.05+MAX(0,MIN(D34-75000,1200000)-800000)*0.10+MAX(0,MIN(D34-75000,1600000)-1200000)*0.15+MAX(0,MIN(D34-75000,2000000)-1600000)*0.20+MAX(0,MIN(D34-75000,2400000)-2000000)*0.25+MAX(0,(D34-75000)-2400000)*0.30)*1.04,D34-75000-1200000)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35-75000&lt;=1200000,0,MIN((MAX(0,MIN(D35-75000,400000)-0)*0+MAX(0,MIN(D35-75000,800000)-400000)*0.05+MAX(0,MIN(D35-75000,1200000)-800000)*0.10+MAX(0,MIN(D35-75000,1600000)-1200000)*0.15+MAX(0,MIN(D35-75000,2000000)-1600000)*0.20+MAX(0,MIN(D35-75000,2400000)-2000000)*0.25+MAX(0,(D35-75000)-2400000)*0.30)*1.04,D35-75000-1200000)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36-75000&lt;=1200000,0,MIN((MAX(0,MIN(D36-75000,400000)-0)*0+MAX(0,MIN(D36-75000,800000)-400000)*0.05+MAX(0,MIN(D36-75000,1200000)-800000)*0.10+MAX(0,MIN(D36-75000,1600000)-1200000)*0.15+MAX(0,MIN(D36-75000,2000000)-1600000)*0.20+MAX(0,MIN(D36-75000,2400000)-2000000)*0.25+MAX(0,(D36-75000)-2400000)*0.30)*1.04,D36-75000-1200000)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37-75000&lt;=1200000,0,MIN((MAX(0,MIN(D37-75000,400000)-0)*0+MAX(0,MIN(D37-75000,800000)-400000)*0.05+MAX(0,MIN(D37-75000,1200000)-800000)*0.10+MAX(0,MIN(D37-75000,1600000)-1200000)*0.15+MAX(0,MIN(D37-75000,2000000)-1600000)*0.20+MAX(0,MIN(D37-75000,2400000)-2000000)*0.25+MAX(0,(D37-75000)-2400000)*0.30)*1.04,D37-75000-1200000)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IF(M20,"","⚠ No attendance/payroll data has been entered yet for this employee in "&amp;M4&amp;". Showing Rs. 0 until the Salary sheet is updated.")</f>
        <v/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f>IF(M20,IF(OR(M10=0,M5&lt;4),0,IFERROR(INDEX('Salary sheet'!$H$3:$H$500,M6-2),0)),0)</f>
        <v>0</v>
      </c>
      <c r="J21" s="115">
        <f>IF(M20,IF(M5&lt;4,0,IFERROR(INDEX('Salary sheet'!$H$3:$H$500,M6-2)*((M5&gt;=4)*(N(INDEX('Salary sheet'!$O$3:$O$500,M6-2))&gt;0)+(M5&gt;=5)*(N(INDEX('Salary sheet'!$P$3:$P$500,M6-2))&gt;0)+(M5&gt;=6)*(N(INDEX('Salary sheet'!$Q$3:$Q$500,M6-2))&gt;0)+(M5&gt;=7)*(N(INDEX('Salary sheet'!$R$3:$R$500,M6-2))&gt;0)+(M5&gt;=8)*(N(INDEX('Salary sheet'!$S$3:$S$500,M6-2))&gt;0)+(M5&gt;=9)*(N(INDEX('Salary sheet'!$T$3:$T$500,M6-2))&gt;0)+(M5&gt;=10)*(N(INDEX('Salary sheet'!$U$3:$U$500,M6-2))&gt;0)+(M5&gt;=11)*(N(INDEX('Salary sheet'!$V$3:$V$500,M6-2))&gt;0)+(M5&gt;=12)*(N(INDEX('Salary sheet'!$W$3:$W$500,M6-2))&gt;0)),0)),0)</f>
        <v>0</v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f>IF(M20,IF(M10=0,0,IFERROR(INDEX('Income Tax'!$F$2:$Q$500,MATCH(M3,'Income Tax'!$A$2:$A$500,0),M5),0)),0)</f>
        <v>0</v>
      </c>
      <c r="J23" s="115">
        <v>0</v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f>SUM(I21:I23)</f>
        <v>0</v>
      </c>
      <c r="J24" s="106">
        <f>SUM(J21:J23)</f>
        <v>0</v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f>SUM(I26:I27)</f>
        <v>0</v>
      </c>
      <c r="J28" s="137">
        <v>0</v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+E29-I24-I28</f>
        <v>0</v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