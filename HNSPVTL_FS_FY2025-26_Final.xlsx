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ddab.a\Downloads\"/>
    </mc:Choice>
  </mc:AlternateContent>
  <xr:revisionPtr revIDLastSave="0" documentId="13_ncr:20001_{58367D27-C85E-4061-8A8A-A66BACA94EB6}" xr6:coauthVersionLast="47" xr6:coauthVersionMax="47" xr10:uidLastSave="{00000000-0000-0000-0000-000000000000}"/>
  <bookViews>
    <workbookView xWindow="-110" yWindow="-110" windowWidth="19420" windowHeight="11500" tabRatio="500" xr2:uid="{00000000-000D-0000-FFFF-FFFF00000000}"/>
  </bookViews>
  <sheets>
    <sheet name="Balance Sheet" sheetId="1" r:id="rId1"/>
    <sheet name="Profit and Loss" sheetId="2" r:id="rId2"/>
    <sheet name="Cash Flow" sheetId="3" r:id="rId3"/>
    <sheet name="Policy" sheetId="4" r:id="rId4"/>
    <sheet name="Notes" sheetId="5" r:id="rId5"/>
    <sheet name="Ratios" sheetId="6" r:id="rId6"/>
    <sheet name="TB" sheetId="7" r:id="rId7"/>
    <sheet name="Inputs" sheetId="8" r:id="rId8"/>
    <sheet name="Queries &amp; Assumptions" sheetId="9" r:id="rId9"/>
  </sheets>
  <definedNames>
    <definedName name="_xlnm.Print_Area" localSheetId="2">'Cash Flow'!$A$1:$F$59</definedName>
    <definedName name="_xlnm.Print_Area" localSheetId="5">Ratios!$A$1:$N$17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2" i="7" l="1"/>
  <c r="F22" i="7"/>
  <c r="E22" i="7"/>
  <c r="D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I5" i="7"/>
  <c r="I22" i="7" s="1"/>
  <c r="H5" i="7"/>
  <c r="H22" i="7" s="1"/>
  <c r="J22" i="7" s="1"/>
  <c r="G15" i="6"/>
  <c r="G13" i="6"/>
  <c r="G12" i="6"/>
  <c r="G11" i="6"/>
  <c r="G10" i="6"/>
  <c r="G9" i="6"/>
  <c r="M8" i="6"/>
  <c r="M7" i="6"/>
  <c r="G7" i="6"/>
  <c r="M6" i="6"/>
  <c r="M5" i="6"/>
  <c r="B1" i="6"/>
  <c r="B178" i="5"/>
  <c r="B177" i="5"/>
  <c r="E176" i="5"/>
  <c r="C176" i="5"/>
  <c r="B176" i="5"/>
  <c r="B175" i="5"/>
  <c r="E174" i="5"/>
  <c r="C174" i="5"/>
  <c r="B174" i="5"/>
  <c r="B167" i="5"/>
  <c r="B165" i="5"/>
  <c r="F129" i="5"/>
  <c r="E129" i="5"/>
  <c r="D129" i="5"/>
  <c r="C129" i="5"/>
  <c r="D128" i="5"/>
  <c r="C128" i="5"/>
  <c r="D105" i="5"/>
  <c r="C105" i="5"/>
  <c r="D104" i="5"/>
  <c r="C104" i="5"/>
  <c r="D103" i="5"/>
  <c r="C103" i="5"/>
  <c r="D102" i="5"/>
  <c r="C102" i="5"/>
  <c r="D101" i="5"/>
  <c r="C101" i="5"/>
  <c r="D100" i="5"/>
  <c r="C100" i="5"/>
  <c r="D95" i="5"/>
  <c r="D96" i="5" s="1"/>
  <c r="E17" i="2" s="1"/>
  <c r="C95" i="5"/>
  <c r="C96" i="5" s="1"/>
  <c r="D17" i="2" s="1"/>
  <c r="D90" i="5"/>
  <c r="D91" i="5" s="1"/>
  <c r="E12" i="2" s="1"/>
  <c r="C90" i="5"/>
  <c r="C91" i="5" s="1"/>
  <c r="D12" i="2" s="1"/>
  <c r="D85" i="5"/>
  <c r="D86" i="5" s="1"/>
  <c r="E11" i="2" s="1"/>
  <c r="C85" i="5"/>
  <c r="C86" i="5" s="1"/>
  <c r="D11" i="2" s="1"/>
  <c r="D80" i="5"/>
  <c r="C80" i="5"/>
  <c r="D79" i="5"/>
  <c r="D81" i="5" s="1"/>
  <c r="E32" i="1" s="1"/>
  <c r="C79" i="5"/>
  <c r="C81" i="5" s="1"/>
  <c r="D32" i="1" s="1"/>
  <c r="D33" i="1" s="1"/>
  <c r="K5" i="6" s="1"/>
  <c r="D72" i="5"/>
  <c r="D73" i="5" s="1"/>
  <c r="E29" i="1" s="1"/>
  <c r="C72" i="5"/>
  <c r="C73" i="5" s="1"/>
  <c r="D29" i="1" s="1"/>
  <c r="D30" i="1" s="1"/>
  <c r="D34" i="1" s="1"/>
  <c r="C67" i="5"/>
  <c r="D66" i="5"/>
  <c r="D67" i="5" s="1"/>
  <c r="E23" i="1" s="1"/>
  <c r="C66" i="5"/>
  <c r="D59" i="5"/>
  <c r="C59" i="5"/>
  <c r="D58" i="5"/>
  <c r="D60" i="5" s="1"/>
  <c r="E22" i="1" s="1"/>
  <c r="C58" i="5"/>
  <c r="C60" i="5" s="1"/>
  <c r="D22" i="1" s="1"/>
  <c r="D51" i="5"/>
  <c r="C51" i="5"/>
  <c r="D50" i="5"/>
  <c r="D52" i="5" s="1"/>
  <c r="C50" i="5"/>
  <c r="C52" i="5" s="1"/>
  <c r="D42" i="5"/>
  <c r="D43" i="5" s="1"/>
  <c r="E16" i="1" s="1"/>
  <c r="C42" i="5"/>
  <c r="C43" i="5" s="1"/>
  <c r="D16" i="1" s="1"/>
  <c r="D35" i="5"/>
  <c r="C35" i="5"/>
  <c r="E27" i="5"/>
  <c r="F27" i="5" s="1"/>
  <c r="C27" i="5"/>
  <c r="E26" i="5"/>
  <c r="C26" i="5"/>
  <c r="E19" i="5"/>
  <c r="D117" i="5" s="1"/>
  <c r="D118" i="5" s="1"/>
  <c r="F17" i="5"/>
  <c r="C17" i="5"/>
  <c r="F16" i="5"/>
  <c r="F19" i="5" s="1"/>
  <c r="D16" i="5"/>
  <c r="D9" i="5"/>
  <c r="D10" i="5" s="1"/>
  <c r="E12" i="1" s="1"/>
  <c r="C9" i="5"/>
  <c r="C10" i="5" s="1"/>
  <c r="D12" i="1" s="1"/>
  <c r="C7" i="5"/>
  <c r="B7" i="5"/>
  <c r="B1" i="5"/>
  <c r="B2" i="4"/>
  <c r="B1" i="4"/>
  <c r="C59" i="3"/>
  <c r="C58" i="3"/>
  <c r="E57" i="3"/>
  <c r="D57" i="3"/>
  <c r="C57" i="3"/>
  <c r="C56" i="3"/>
  <c r="E55" i="3"/>
  <c r="D55" i="3"/>
  <c r="C55" i="3"/>
  <c r="C48" i="3"/>
  <c r="C46" i="3"/>
  <c r="E38" i="3"/>
  <c r="D38" i="3"/>
  <c r="E37" i="3"/>
  <c r="E39" i="3" s="1"/>
  <c r="D37" i="3"/>
  <c r="D39" i="3" s="1"/>
  <c r="E29" i="3"/>
  <c r="E17" i="3"/>
  <c r="B4" i="3"/>
  <c r="B3" i="3"/>
  <c r="B2" i="3"/>
  <c r="B55" i="2"/>
  <c r="B54" i="2"/>
  <c r="E53" i="2"/>
  <c r="D53" i="2"/>
  <c r="B53" i="2"/>
  <c r="B52" i="2"/>
  <c r="E51" i="2"/>
  <c r="D51" i="2"/>
  <c r="B51" i="2"/>
  <c r="B44" i="2"/>
  <c r="B42" i="2"/>
  <c r="E27" i="2"/>
  <c r="D27" i="2"/>
  <c r="B4" i="2"/>
  <c r="B3" i="2"/>
  <c r="B2" i="2"/>
  <c r="B58" i="1"/>
  <c r="B57" i="1"/>
  <c r="E56" i="1"/>
  <c r="D56" i="1"/>
  <c r="B56" i="1"/>
  <c r="B55" i="1"/>
  <c r="E54" i="1"/>
  <c r="D54" i="1"/>
  <c r="B54" i="1"/>
  <c r="B47" i="1"/>
  <c r="B45" i="1"/>
  <c r="D23" i="1"/>
  <c r="E21" i="1"/>
  <c r="D21" i="1"/>
  <c r="E20" i="1"/>
  <c r="D20" i="1"/>
  <c r="B4" i="1"/>
  <c r="B3" i="1"/>
  <c r="B2" i="1"/>
  <c r="D109" i="5" l="1"/>
  <c r="D112" i="5" s="1"/>
  <c r="D106" i="5"/>
  <c r="E19" i="2" s="1"/>
  <c r="C109" i="5"/>
  <c r="C112" i="5" s="1"/>
  <c r="C106" i="5"/>
  <c r="D19" i="2" s="1"/>
  <c r="E13" i="3"/>
  <c r="E20" i="2"/>
  <c r="D13" i="3"/>
  <c r="D20" i="2"/>
  <c r="E13" i="2"/>
  <c r="E22" i="2" s="1"/>
  <c r="L9" i="6"/>
  <c r="D13" i="2"/>
  <c r="D22" i="2" s="1"/>
  <c r="K9" i="6"/>
  <c r="E33" i="1"/>
  <c r="L5" i="6" s="1"/>
  <c r="D32" i="3"/>
  <c r="D16" i="3"/>
  <c r="E16" i="3"/>
  <c r="E30" i="1"/>
  <c r="E17" i="1"/>
  <c r="L8" i="6"/>
  <c r="D17" i="1"/>
  <c r="K8" i="6"/>
  <c r="D28" i="3"/>
  <c r="E28" i="5"/>
  <c r="F26" i="5"/>
  <c r="F28" i="5" s="1"/>
  <c r="C28" i="5"/>
  <c r="D17" i="5"/>
  <c r="D19" i="5" s="1"/>
  <c r="C19" i="5"/>
  <c r="D26" i="5" s="1"/>
  <c r="D27" i="3"/>
  <c r="D29" i="3" s="1"/>
  <c r="E24" i="1"/>
  <c r="L6" i="6" s="1"/>
  <c r="E18" i="3"/>
  <c r="D18" i="3"/>
  <c r="D24" i="1"/>
  <c r="K6" i="6" s="1"/>
  <c r="E5" i="6" s="1"/>
  <c r="E34" i="1" l="1"/>
  <c r="E29" i="2"/>
  <c r="E12" i="3"/>
  <c r="E14" i="3" s="1"/>
  <c r="E19" i="3" s="1"/>
  <c r="E21" i="3" s="1"/>
  <c r="E31" i="3" s="1"/>
  <c r="E33" i="3" s="1"/>
  <c r="E34" i="3" s="1"/>
  <c r="L11" i="6"/>
  <c r="D29" i="2"/>
  <c r="K11" i="6"/>
  <c r="D12" i="3"/>
  <c r="D14" i="3" s="1"/>
  <c r="D19" i="3" s="1"/>
  <c r="D21" i="3" s="1"/>
  <c r="D31" i="3" s="1"/>
  <c r="D33" i="3" s="1"/>
  <c r="D34" i="3" s="1"/>
  <c r="D27" i="5"/>
  <c r="D28" i="5" s="1"/>
  <c r="C117" i="5"/>
  <c r="C118" i="5" s="1"/>
  <c r="F5" i="6"/>
  <c r="G5" i="6" s="1"/>
  <c r="D36" i="5" l="1"/>
  <c r="L10" i="6"/>
  <c r="C36" i="5"/>
  <c r="K10" i="6"/>
  <c r="D37" i="5" l="1"/>
  <c r="E13" i="1" s="1"/>
  <c r="E14" i="1" s="1"/>
  <c r="D116" i="5"/>
  <c r="D120" i="5" s="1"/>
  <c r="C37" i="5"/>
  <c r="D13" i="1" s="1"/>
  <c r="D14" i="1" s="1"/>
  <c r="C116" i="5"/>
  <c r="C120" i="5" s="1"/>
  <c r="E25" i="1" l="1"/>
  <c r="E36" i="1" s="1"/>
  <c r="L7" i="6"/>
  <c r="E32" i="2"/>
  <c r="E33" i="2"/>
  <c r="K7" i="6"/>
  <c r="D25" i="1"/>
  <c r="D36" i="1" s="1"/>
  <c r="D32" i="2"/>
  <c r="D33" i="2"/>
  <c r="F8" i="6" l="1"/>
  <c r="L12" i="6"/>
  <c r="F14" i="6" s="1"/>
  <c r="F6" i="6"/>
  <c r="E8" i="6"/>
  <c r="G8" i="6" s="1"/>
  <c r="K12" i="6"/>
  <c r="E14" i="6" s="1"/>
  <c r="G14" i="6" s="1"/>
  <c r="E6" i="6"/>
  <c r="G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32" authorId="0" shapeId="0" xr:uid="{00000000-0006-0000-0200-000001000000}">
      <text>
        <r>
          <rPr>
            <sz val="10"/>
            <rFont val="Arial"/>
            <family val="2"/>
          </rPr>
          <t>Per FY 24-25 audited FS (cash Rs 500 hundreds as at 31.03.2024)</t>
        </r>
      </text>
    </comment>
  </commentList>
</comments>
</file>

<file path=xl/sharedStrings.xml><?xml version="1.0" encoding="utf-8"?>
<sst xmlns="http://schemas.openxmlformats.org/spreadsheetml/2006/main" count="522" uniqueCount="388">
  <si>
    <t>Balance Sheet as at 31 March, 2026</t>
  </si>
  <si>
    <t>(Rupees in hundreds)</t>
  </si>
  <si>
    <t>Particulars</t>
  </si>
  <si>
    <t>Note No.</t>
  </si>
  <si>
    <t>As at
31 March, 2026</t>
  </si>
  <si>
    <t>As at
31 March, 2025</t>
  </si>
  <si>
    <t>I.  EQUITY AND LIABILITIES</t>
  </si>
  <si>
    <t>(1) Shareholders’ funds</t>
  </si>
  <si>
    <t xml:space="preserve">    (a) Share capital</t>
  </si>
  <si>
    <t xml:space="preserve">    (b) Reserves and surplus</t>
  </si>
  <si>
    <t>(2) Non-current liabilities</t>
  </si>
  <si>
    <t xml:space="preserve">    (a) Long-term borrowings</t>
  </si>
  <si>
    <t>(3) Current liabilities</t>
  </si>
  <si>
    <t xml:space="preserve">    (a) Trade payables</t>
  </si>
  <si>
    <t xml:space="preserve">        Total outstanding dues of micro and small enterprises</t>
  </si>
  <si>
    <t xml:space="preserve">        Total outstanding dues of creditors other than micro and small enterprises</t>
  </si>
  <si>
    <t xml:space="preserve">    (b) Other current liabilities</t>
  </si>
  <si>
    <t xml:space="preserve">    (c) Short-term provisions</t>
  </si>
  <si>
    <t>TOTAL</t>
  </si>
  <si>
    <t>II.  ASSETS</t>
  </si>
  <si>
    <t>(1) Non-current assets</t>
  </si>
  <si>
    <t xml:space="preserve">    (a) Long-term loans and advances</t>
  </si>
  <si>
    <t>(2) Current assets</t>
  </si>
  <si>
    <t xml:space="preserve">    (a) Cash and cash equivalents</t>
  </si>
  <si>
    <t>Check: Total liabilities – Total assets (should be zero)</t>
  </si>
  <si>
    <t>Material accounting policies</t>
  </si>
  <si>
    <t>A</t>
  </si>
  <si>
    <t>Notes on financial statements</t>
  </si>
  <si>
    <t>1-18</t>
  </si>
  <si>
    <t>The notes referred to above form an integral part of the financial statements.</t>
  </si>
  <si>
    <t>As per our report of even date attached</t>
  </si>
  <si>
    <t>For and on behalf of</t>
  </si>
  <si>
    <t>For and on behalf of the Board of Directors</t>
  </si>
  <si>
    <t>Chartered Accountants</t>
  </si>
  <si>
    <t>(Director)</t>
  </si>
  <si>
    <t>Statement of Profit and Loss for the year ended 31 March, 2026</t>
  </si>
  <si>
    <t>Year ended
31 March, 2026</t>
  </si>
  <si>
    <t>Year ended
31 March, 2025</t>
  </si>
  <si>
    <t>I.   Revenue from operations</t>
  </si>
  <si>
    <t>II.  Other income</t>
  </si>
  <si>
    <t>III. Total income (I + II)</t>
  </si>
  <si>
    <t>IV.  Expenses</t>
  </si>
  <si>
    <t xml:space="preserve">      Employee benefits expense</t>
  </si>
  <si>
    <t xml:space="preserve">      Finance costs</t>
  </si>
  <si>
    <t xml:space="preserve">      Depreciation and amortisation expense</t>
  </si>
  <si>
    <t xml:space="preserve">      Other expenses</t>
  </si>
  <si>
    <t xml:space="preserve">      Total expenses (IV)</t>
  </si>
  <si>
    <t>V.   Profit / (Loss) before tax (III - IV)</t>
  </si>
  <si>
    <t>VI.  Tax expense</t>
  </si>
  <si>
    <t xml:space="preserve">      (1) Current tax</t>
  </si>
  <si>
    <t xml:space="preserve">      (2) Deferred tax</t>
  </si>
  <si>
    <t>VII. Profit / (Loss) for the year (V - VI)</t>
  </si>
  <si>
    <t>VIII. Earnings per equity share (face value Rs 10 each)</t>
  </si>
  <si>
    <t xml:space="preserve">      Basic (Rs)</t>
  </si>
  <si>
    <t xml:space="preserve">      Diluted (Rs)</t>
  </si>
  <si>
    <t>Cash Flow Statement for the year ended 31 March, 2026</t>
  </si>
  <si>
    <t>Balances as at 31.03.2024 (per FY 24-25 audited FS)</t>
  </si>
  <si>
    <t>Other current assets</t>
  </si>
  <si>
    <t>A.</t>
  </si>
  <si>
    <t>Cash flow from operating activities</t>
  </si>
  <si>
    <t>Other current liabilities</t>
  </si>
  <si>
    <t>Profit / (Loss) before tax</t>
  </si>
  <si>
    <t>Long-term loans &amp; advances</t>
  </si>
  <si>
    <t>Adjustments for: Depreciation / Finance costs</t>
  </si>
  <si>
    <t>Operating profit / (loss) before working capital changes</t>
  </si>
  <si>
    <t>Adjustments for working capital:</t>
  </si>
  <si>
    <t>(Increase) / decrease in long-term loans &amp; advances (security deposit)</t>
  </si>
  <si>
    <t>(Increase) / decrease in other current assets</t>
  </si>
  <si>
    <t>Increase / (decrease) in trade payables &amp; other current liabilities</t>
  </si>
  <si>
    <t>Cash generated from / (used in) operations</t>
  </si>
  <si>
    <t>Direct taxes paid (net)</t>
  </si>
  <si>
    <t>Net cash from / (used in) operating activities (A)</t>
  </si>
  <si>
    <t>B.</t>
  </si>
  <si>
    <t>Cash flow from investing activities</t>
  </si>
  <si>
    <t>Net cash from / (used in) investing activities (B)</t>
  </si>
  <si>
    <t>C.</t>
  </si>
  <si>
    <t>Cash flow from financing activities</t>
  </si>
  <si>
    <t>Proceeds from issue of equity shares</t>
  </si>
  <si>
    <t>Proceeds from long-term borrowings (directors)</t>
  </si>
  <si>
    <t>Net cash from / (used in) financing activities (C)</t>
  </si>
  <si>
    <t>Net increase / (decrease) in cash and cash equivalents (A+B+C)</t>
  </si>
  <si>
    <t>Opening cash and cash equivalents</t>
  </si>
  <si>
    <t>Closing cash and cash equivalents</t>
  </si>
  <si>
    <t>Check vs Balance Sheet (should be zero)</t>
  </si>
  <si>
    <t>Components of cash and cash equivalents</t>
  </si>
  <si>
    <t>Balance with banks in current account</t>
  </si>
  <si>
    <t>Cash on hand</t>
  </si>
  <si>
    <t>Total (refer note 8)</t>
  </si>
  <si>
    <t>The above cash flow statement has been prepared under the Indirect Method as set out in AS 3 "Cash Flow Statements". (Note: being a small company u/s 2(85), the cash flow statement is optional u/s 2(40) – retain or delete as per auditor.)</t>
  </si>
  <si>
    <t>A.  MATERIAL ACCOUNTING POLICIES</t>
  </si>
  <si>
    <t>1. Corporate information</t>
  </si>
  <si>
    <t>2. Basis of preparation</t>
  </si>
  <si>
    <t>The financial statements are prepared under the historical cost convention on the accrual basis of accounting in accordance with Generally Accepted Accounting Principles in India (Indian GAAP), including the Accounting Standards specified under section 133 of the Companies Act, 2013 read with Rule 7 of the Companies (Accounts) Rules, 2014, and are presented in the format prescribed in Division I of Schedule III to the Act. The company is a Small and Medium-sized Company (SMC) and has availed the exemptions/relaxations available to it. All amounts are presented in Rupees in hundreds, rounded off to two decimals, unless otherwise stated.</t>
  </si>
  <si>
    <t>2.1 Current / non-current classification</t>
  </si>
  <si>
    <t>Assets and liabilities are classified as current or non-current as per the criteria set out in Schedule III, based on the company's operating cycle, which has been determined as twelve months.</t>
  </si>
  <si>
    <t>2.2 Use of estimates</t>
  </si>
  <si>
    <t>The preparation of financial statements requires management to make estimates and assumptions that affect the reported amounts of assets, liabilities, income and expenses and the disclosure of contingent liabilities. Actual results could differ from those estimates; revisions are recognised prospectively.</t>
  </si>
  <si>
    <t>2.3 Revenue recognition</t>
  </si>
  <si>
    <t>Revenue from sale of food and beverages is recognised when the significant risks and rewards are transferred to the customer, net of GST and discounts. Other income is recognised on accrual basis.</t>
  </si>
  <si>
    <t>2.4 Preliminary and pre-operative expenses</t>
  </si>
  <si>
    <t>Preliminary expenses and pre-operative expenses not eligible for capitalisation are charged to the statement of profit and loss in the year in which they are incurred.</t>
  </si>
  <si>
    <t>2.5 Property, plant &amp; equipment and depreciation</t>
  </si>
  <si>
    <t>Property, plant and equipment are stated at cost less accumulated depreciation and impairment. Depreciation is provided on the written down value method based on useful lives prescribed in Schedule II to the Companies Act, 2013. (No such assets as at the balance sheet date.)</t>
  </si>
  <si>
    <t>2.6 Borrowing costs</t>
  </si>
  <si>
    <t>Borrowing costs directly attributable to the acquisition or construction of qualifying assets are capitalised; other borrowing costs are charged to the statement of profit and loss.</t>
  </si>
  <si>
    <t>2.7 Taxes on income</t>
  </si>
  <si>
    <t>Current tax is determined as per the Income Tax Act, 1961. Deferred tax is recognised on timing differences using tax rates enacted or substantively enacted at the balance sheet date. Deferred tax assets on unabsorbed depreciation and carried-forward losses are recognised only if there is virtual certainty of realisation; other deferred tax assets are recognised only to the extent of reasonable certainty.</t>
  </si>
  <si>
    <t>2.8 Leases</t>
  </si>
  <si>
    <t>Lease rentals under operating leases are recognised as an expense on a straight-line basis over the lease term. Security deposits paid under lease arrangements are carried at cost under loans and advances.</t>
  </si>
  <si>
    <t>2.9 Provisions, contingent liabilities and contingent assets</t>
  </si>
  <si>
    <t>A provision is recognised when the company has a present obligation as a result of a past event, it is probable that an outflow of resources will be required, and a reliable estimate can be made. Contingent liabilities are disclosed when there is a possible obligation or a present obligation where outflow is not probable. Contingent assets are not recognised.</t>
  </si>
  <si>
    <t>2.10 Earnings per share</t>
  </si>
  <si>
    <t>Basic EPS is computed by dividing net profit/(loss) attributable to equity shareholders by the weighted average number of equity shares outstanding during the year. Diluted EPS is adjusted for the effects of all dilutive potential equity shares.</t>
  </si>
  <si>
    <t>2.11 Cash and cash equivalents</t>
  </si>
  <si>
    <t>Cash and cash equivalents comprise cash on hand and balances with banks in current accounts, which are subject to insignificant risk of change in value.</t>
  </si>
  <si>
    <t>Notes to financial statements for the year ended 31 March, 2026</t>
  </si>
  <si>
    <t>1. SHARE CAPITAL</t>
  </si>
  <si>
    <t>Authorised</t>
  </si>
  <si>
    <t>Issued, subscribed &amp; paid up</t>
  </si>
  <si>
    <t>10,000 (10,000) Equity Shares of Rs.10 each fully paid up</t>
  </si>
  <si>
    <t>Total</t>
  </si>
  <si>
    <t>Figures in bracket represent those of the previous year.</t>
  </si>
  <si>
    <t>1.1 Reconciliation of number of shares outstanding</t>
  </si>
  <si>
    <t>No. (CY)</t>
  </si>
  <si>
    <t>Rs 100s (CY)</t>
  </si>
  <si>
    <t>No. (PY)</t>
  </si>
  <si>
    <t>Rs 100s (PY)</t>
  </si>
  <si>
    <t>Shares outstanding at the beginning of the year</t>
  </si>
  <si>
    <t>Add: Shares issued during the year</t>
  </si>
  <si>
    <t>Less: Shares bought back during the year</t>
  </si>
  <si>
    <t>Shares outstanding at the end of the year</t>
  </si>
  <si>
    <t>1.2 Terms / rights attached to equity shares</t>
  </si>
  <si>
    <t>The company has only one class of equity shares having a par value of Rs 10/- per share. Each holder of equity shares is entitled to one vote per share. In the event of liquidation of the company, the holders of equity shares will be entitled to receive remaining assets of the company after distribution of all preferential amounts, in proportion to the number of equity shares held by the shareholders.</t>
  </si>
  <si>
    <t>1.3 Shareholders holding more than 5% shares / 1.4 Shareholding of promoters</t>
  </si>
  <si>
    <t>Name of shareholder / promoter</t>
  </si>
  <si>
    <t>No. of shares 31.03.2026</t>
  </si>
  <si>
    <t>% holding</t>
  </si>
  <si>
    <t>No. of shares 31.03.2025</t>
  </si>
  <si>
    <t>MANSHU NARANG</t>
  </si>
  <si>
    <t>LOKESH NARANG</t>
  </si>
  <si>
    <t>% change in promoter shareholding during the year: Nil (Previous year: Nil).</t>
  </si>
  <si>
    <t>1.5 The company has not reserved any shares for issue under options, has not allotted any shares pursuant to contract without payment in cash, nor issued bonus shares or bought back shares during the period of five years immediately preceding the reporting date.</t>
  </si>
  <si>
    <t>2. RESERVES &amp; SURPLUS</t>
  </si>
  <si>
    <t>Surplus / (Deficit) in statement of profit &amp; loss</t>
  </si>
  <si>
    <t>Balance at the beginning of the year</t>
  </si>
  <si>
    <t>Add: Profit / (Loss) for the year</t>
  </si>
  <si>
    <t>Balance at the end of the year</t>
  </si>
  <si>
    <t>3. LONG-TERM BORROWINGS</t>
  </si>
  <si>
    <t>Unsecured</t>
  </si>
  <si>
    <t>Loans from directors</t>
  </si>
  <si>
    <t>3.1 Loans from directors (Mr. Lokesh Narang Rs 3,000 hundreds and Mr. Manshu Narang Rs 3,000 hundreds) are unsecured and interest-free. The directors have confirmed that the loans will not be recalled within twelve months from the balance sheet date; accordingly they are classified as non-current. The directors have furnished declarations that the amounts are not out of borrowed funds; hence these are not deposits under Rule 2(1)(c)(viii) of the Companies (Acceptance of Deposits) Rules, 2014.</t>
  </si>
  <si>
    <t>3.2 There is no default in repayment of loans or interest as on the balance sheet date.</t>
  </si>
  <si>
    <t>4. TRADE PAYABLES</t>
  </si>
  <si>
    <t>Total outstanding dues of micro enterprises and small enterprises</t>
  </si>
  <si>
    <t>Total outstanding dues of creditors other than micro and small enterprises</t>
  </si>
  <si>
    <t>4.1 Ageing of trade payables: there are no trade payables (including disputed dues) outstanding as at 31 March, 2026 and 31 March, 2025; hence the ageing schedule is Nil.</t>
  </si>
  <si>
    <t>5. OTHER CURRENT LIABILITIES</t>
  </si>
  <si>
    <t>Audit fee payable</t>
  </si>
  <si>
    <t>Other expenses payable</t>
  </si>
  <si>
    <t>5.1 Previous year figure of other expenses payable (Rs 200 hundreds) has been restated to agree with the books of account; it had been omitted in the financial statements for FY 2024-25.</t>
  </si>
  <si>
    <t>6. SHORT-TERM PROVISIONS</t>
  </si>
  <si>
    <t>Provision for taxation</t>
  </si>
  <si>
    <t>7. LONG-TERM LOANS AND ADVANCES</t>
  </si>
  <si>
    <t>(Unsecured, considered good)</t>
  </si>
  <si>
    <t>Security deposits – rent deposit for Kalkaji premises</t>
  </si>
  <si>
    <t>7.1 No loans or advances in the nature of loans have been granted to promoters, directors, KMPs or related parties.</t>
  </si>
  <si>
    <t>8. CASH AND CASH EQUIVALENTS</t>
  </si>
  <si>
    <t>Balance with banks – in current account</t>
  </si>
  <si>
    <t>9. REVENUE FROM OPERATIONS</t>
  </si>
  <si>
    <t>Sale of food &amp; beverages</t>
  </si>
  <si>
    <t>10. OTHER INCOME</t>
  </si>
  <si>
    <t>Other income</t>
  </si>
  <si>
    <t>11. FINANCE COSTS</t>
  </si>
  <si>
    <t>Interest and other borrowing costs</t>
  </si>
  <si>
    <t>12. OTHER EXPENSES</t>
  </si>
  <si>
    <t>Payment to auditor (refer 12.1)</t>
  </si>
  <si>
    <t>Accounting charges</t>
  </si>
  <si>
    <t>ROC filing fees</t>
  </si>
  <si>
    <t>Office expenses</t>
  </si>
  <si>
    <t>POS machine rental charges</t>
  </si>
  <si>
    <t>Miscellaneous expenses</t>
  </si>
  <si>
    <t>12.1 Payment to auditor</t>
  </si>
  <si>
    <t>As auditor – statutory audit fee</t>
  </si>
  <si>
    <t>For taxation matters</t>
  </si>
  <si>
    <t>For other services</t>
  </si>
  <si>
    <t>13. EARNINGS PER SHARE (AS 20)</t>
  </si>
  <si>
    <t>Profit / (Loss) after tax (Rupees in hundreds)</t>
  </si>
  <si>
    <t>Equity shares outstanding at year end (Nos.)</t>
  </si>
  <si>
    <t>Weighted average number of equity shares (Nos.)</t>
  </si>
  <si>
    <t>Nominal value per share (Rs)</t>
  </si>
  <si>
    <t>Basic and diluted EPS (Rs)</t>
  </si>
  <si>
    <t>14. CONTINGENT LIABILITIES AND COMMITMENTS</t>
  </si>
  <si>
    <t>Contingent liabilities: Nil (Previous year: Nil). Capital commitments: Nil (Previous year: Nil).</t>
  </si>
  <si>
    <t>15. RELATED PARTY DISCLOSURES (AS 18)</t>
  </si>
  <si>
    <t>A. Key Managerial Personnel (Directors): 1. Mr. Manshu Narang   2. Mr. Lokesh Narang</t>
  </si>
  <si>
    <t>Nature of transaction</t>
  </si>
  <si>
    <t>Manshu Narang FY 25-26</t>
  </si>
  <si>
    <t>Lokesh Narang FY 25-26</t>
  </si>
  <si>
    <t>Manshu Narang FY 24-25</t>
  </si>
  <si>
    <t>Lokesh Narang FY 24-25</t>
  </si>
  <si>
    <t>Unsecured loan received</t>
  </si>
  <si>
    <t>Closing balance – loan payable</t>
  </si>
  <si>
    <t>No transactions with related parties in FY 24-25. No remuneration was paid to directors.</t>
  </si>
  <si>
    <t>16. ANALYTICAL RATIOS – refer sheet "Ratios"</t>
  </si>
  <si>
    <t>17. ADDITIONAL REGULATORY INFORMATION (Schedule III)</t>
  </si>
  <si>
    <t>(i) The company does not hold any immovable property; title deed disclosure is not applicable.</t>
  </si>
  <si>
    <t>(ii) The company has not revalued any property, plant &amp; equipment or intangible assets.</t>
  </si>
  <si>
    <t>(iii) No loans or advances in the nature of loans have been granted to promoters, directors, KMPs and related parties.</t>
  </si>
  <si>
    <t>(iv) There is no capital work-in-progress or intangible assets under development.</t>
  </si>
  <si>
    <t>(v) No proceedings have been initiated or are pending against the company for holding any benami property under the Prohibition of Benami Property Transactions Act, 1988.</t>
  </si>
  <si>
    <t>(vi) The company has not been sanctioned working capital limits from banks/financial institutions on the basis of security of current assets.</t>
  </si>
  <si>
    <t>(vii) The company has not been declared a wilful defaulter by any bank, financial institution or other lender.</t>
  </si>
  <si>
    <t>(viii) The company has no transactions or balances with companies struck off under section 248 of the Companies Act, 2013.</t>
  </si>
  <si>
    <t>(ix) There are no charges or satisfaction yet to be registered with the Registrar of Companies.</t>
  </si>
  <si>
    <t>(x) The company has no subsidiaries; compliance with number of layers is not applicable.</t>
  </si>
  <si>
    <t>(xi) No scheme of arrangement has been approved by the competent authority in terms of sections 230 to 237 of the Act.</t>
  </si>
  <si>
    <t>(xii) The company has not advanced/loaned/invested funds, nor received funds, with the understanding of further lending to or investing in other entities (intermediaries / ultimate beneficiaries).</t>
  </si>
  <si>
    <t>(xiii) There is no income surrendered or disclosed as income during the year in tax assessments under the Income Tax Act, 1961 that has not been recorded in the books of account.</t>
  </si>
  <si>
    <t>(xiv) Section 135 (Corporate Social Responsibility) is not applicable to the company.</t>
  </si>
  <si>
    <t>(xv) The company has not traded or invested in crypto currency or virtual currency during the year.</t>
  </si>
  <si>
    <t>(xvi) The company has used accounting software (Tally) with audit trail (edit log) facility as required by Rule 3(1) of the Companies (Accounts) Rules, 2014.</t>
  </si>
  <si>
    <t>18. OTHER NOTES</t>
  </si>
  <si>
    <t>18.1 Going concern: The company has accumulated losses of Rs 2,777.99 hundreds as at 31 March, 2026, which have fully eroded its paid-up capital, and it has not yet commenced revenue-generating operations. The directors have infused funds by way of unsecured loans and have confirmed continued financial support; the outlet at Kalkaji is under set-up. Accordingly, the financial statements have been prepared on a going concern basis.</t>
  </si>
  <si>
    <t>18.2 Taxation: In view of loss for the year, no provision for current tax has been made. Deferred tax asset on carried-forward business losses has not been recognised in the absence of virtual certainty of sufficient future taxable income, as required by AS 22.</t>
  </si>
  <si>
    <t>18.3 Micro, Small and Medium Enterprises: Based on information available with the company, there are no amounts due to micro and small enterprises as defined under the MSMED Act, 2006; hence no disclosure of principal/interest is required.</t>
  </si>
  <si>
    <t>18.4 Earnings and expenditure in foreign currency: Nil (Previous year: Nil).</t>
  </si>
  <si>
    <t>18.5 In the opinion of the management, loans &amp; advances and current assets have a value on realisation in the ordinary course of business at least equal to the amount at which they are stated in the balance sheet.</t>
  </si>
  <si>
    <t>18.6 Employee benefits (AS 15): The company had no employees during the year; hence no provision for employee benefits is required.</t>
  </si>
  <si>
    <t>18.7 Previous year figures have been regrouped / reclassified / restated wherever necessary to conform to current year classification.</t>
  </si>
  <si>
    <t>Notes 1 to 18 and material accounting policies (A) form an integral part of the financial statements.</t>
  </si>
  <si>
    <t>16. ANALYTICAL RATIOS (Schedule III) – figures in Rupees in hundreds</t>
  </si>
  <si>
    <t>Ratio</t>
  </si>
  <si>
    <t>Numerator</t>
  </si>
  <si>
    <t>Denominator</t>
  </si>
  <si>
    <t>31.03.2026</t>
  </si>
  <si>
    <t>31.03.2025</t>
  </si>
  <si>
    <t>% Change</t>
  </si>
  <si>
    <t>Reason for variance &gt; 25%</t>
  </si>
  <si>
    <t>Workings</t>
  </si>
  <si>
    <t>31.03.2024</t>
  </si>
  <si>
    <t>Current ratio (times)</t>
  </si>
  <si>
    <t>Current assets</t>
  </si>
  <si>
    <t>Current liabilities</t>
  </si>
  <si>
    <t>Funds deployed in non-current rent deposit while expense payables increased.</t>
  </si>
  <si>
    <t>Debt-equity ratio (times)</t>
  </si>
  <si>
    <t>Borrowings</t>
  </si>
  <si>
    <t>Total equity</t>
  </si>
  <si>
    <t>Directors' loans taken during the year; net worth negative due to accumulated losses.</t>
  </si>
  <si>
    <t>Debt service coverage ratio (times)</t>
  </si>
  <si>
    <t>Earnings available for debt service</t>
  </si>
  <si>
    <t>Debt service</t>
  </si>
  <si>
    <t>N.A.</t>
  </si>
  <si>
    <t>No debt service obligation (interest-free loans, no repayment due).</t>
  </si>
  <si>
    <t>Return on equity (%)</t>
  </si>
  <si>
    <t>Profit after tax</t>
  </si>
  <si>
    <t>Average total equity</t>
  </si>
  <si>
    <t>Average equity negative in current year; ratio not meaningful.</t>
  </si>
  <si>
    <t>Inventory turnover ratio (times)</t>
  </si>
  <si>
    <t>Cost of goods sold</t>
  </si>
  <si>
    <t>Average inventory</t>
  </si>
  <si>
    <t>No inventory – operations not commenced.</t>
  </si>
  <si>
    <t>Revenue from operations</t>
  </si>
  <si>
    <t>Trade receivables turnover ratio (times)</t>
  </si>
  <si>
    <t>Average trade receivables</t>
  </si>
  <si>
    <t>No revenue / receivables.</t>
  </si>
  <si>
    <t>Trade payables turnover ratio (times)</t>
  </si>
  <si>
    <t>Purchases</t>
  </si>
  <si>
    <t>Average trade payables</t>
  </si>
  <si>
    <t>No purchases.</t>
  </si>
  <si>
    <t>EBIT (PBT + finance cost)</t>
  </si>
  <si>
    <t>Net capital turnover ratio (times)</t>
  </si>
  <si>
    <t>Working capital</t>
  </si>
  <si>
    <t>No revenue from operations.</t>
  </si>
  <si>
    <t>Capital employed (Equity + Borrowings)</t>
  </si>
  <si>
    <t>Net profit ratio (%)</t>
  </si>
  <si>
    <t>Return on capital employed (%)</t>
  </si>
  <si>
    <t>EBIT</t>
  </si>
  <si>
    <t>Capital employed</t>
  </si>
  <si>
    <t>Increase in capital employed through directors' loans; higher pre-operative expenses.</t>
  </si>
  <si>
    <t>Return on investment (%)</t>
  </si>
  <si>
    <t>Income from investments</t>
  </si>
  <si>
    <t>Average investments</t>
  </si>
  <si>
    <t>No investments.</t>
  </si>
  <si>
    <t>Trial Balance mapping – FY 2025-26 (Tally) with FY 2024-25 comparative (amounts in Rupees)</t>
  </si>
  <si>
    <t>Map Code column drives every note (SUMIF). Change a code to regroup a ledger.</t>
  </si>
  <si>
    <t>Ledger</t>
  </si>
  <si>
    <t>Tally Group</t>
  </si>
  <si>
    <t>Map Code</t>
  </si>
  <si>
    <t>31.03.2026 Dr</t>
  </si>
  <si>
    <t>31.03.2026 Cr</t>
  </si>
  <si>
    <t>31.03.2025 Dr</t>
  </si>
  <si>
    <t>31.03.2025 Cr</t>
  </si>
  <si>
    <t>Net 2026 (Dr+/Cr-)</t>
  </si>
  <si>
    <t>Net 2025 (Dr+/Cr-)</t>
  </si>
  <si>
    <t>Remark</t>
  </si>
  <si>
    <t>Lokesh Narang Equity Share Capital</t>
  </si>
  <si>
    <t>Capital Account</t>
  </si>
  <si>
    <t>SC</t>
  </si>
  <si>
    <t>Manshu Narang Equity Share Capital</t>
  </si>
  <si>
    <t>No change in share capital during the year</t>
  </si>
  <si>
    <t>Loan from Director Lokesh Narang</t>
  </si>
  <si>
    <t>Unsecured Loans</t>
  </si>
  <si>
    <t>LTB-DIR</t>
  </si>
  <si>
    <t>Classified long-term – confirm terms</t>
  </si>
  <si>
    <t>Loan from Director Manshu Narang</t>
  </si>
  <si>
    <t>Sundry Creditors</t>
  </si>
  <si>
    <t>Current Liabilities</t>
  </si>
  <si>
    <t>TP-OTH</t>
  </si>
  <si>
    <t>Nil balance (Dr 1,04,000 / Cr 1,04,000)</t>
  </si>
  <si>
    <t>Audit Fees Payable</t>
  </si>
  <si>
    <t>Expense Payables</t>
  </si>
  <si>
    <t>OCL-AUD</t>
  </si>
  <si>
    <t>Expenses Payable</t>
  </si>
  <si>
    <t>OCL-EXP</t>
  </si>
  <si>
    <t>PY Rs 20,000 not shown in signed FY 24-25 BS (BS was short by Rs 20,000) – restated per TB opening</t>
  </si>
  <si>
    <t>Rent Security Deposit - Kalkaji</t>
  </si>
  <si>
    <t>Security Deposits</t>
  </si>
  <si>
    <t>LTLA-SD</t>
  </si>
  <si>
    <t>Non-current: deposit for leased premises</t>
  </si>
  <si>
    <t>Cash</t>
  </si>
  <si>
    <t>Cash-in-Hand</t>
  </si>
  <si>
    <t>CASH</t>
  </si>
  <si>
    <t>YES BANK CA 6197</t>
  </si>
  <si>
    <t>Bank Accounts</t>
  </si>
  <si>
    <t>BANK</t>
  </si>
  <si>
    <t>Office Expenses</t>
  </si>
  <si>
    <t>Administrative Expenses</t>
  </si>
  <si>
    <t>EXP-OFF</t>
  </si>
  <si>
    <t>Accounting Charges</t>
  </si>
  <si>
    <t>Professional Charges</t>
  </si>
  <si>
    <t>EXP-ACC</t>
  </si>
  <si>
    <t>ROC Filing Fees</t>
  </si>
  <si>
    <t>EXP-ROC</t>
  </si>
  <si>
    <t>Statutory Audit Fees</t>
  </si>
  <si>
    <t>EXP-AUD</t>
  </si>
  <si>
    <t>POS Machine Charges</t>
  </si>
  <si>
    <t>Finance Costs (Tally)</t>
  </si>
  <si>
    <t>EXP-BANK</t>
  </si>
  <si>
    <t>Monthly rental of POS machine – shown under Other expenses (not a borrowing cost under AS 16)</t>
  </si>
  <si>
    <t>Miscellaneous Expenses</t>
  </si>
  <si>
    <t>Other Expenses</t>
  </si>
  <si>
    <t>EXP-MISC</t>
  </si>
  <si>
    <t>Profit &amp; Loss A/c (opening deficit)</t>
  </si>
  <si>
    <t>Profit &amp; Loss A/c</t>
  </si>
  <si>
    <t>RS-OPEN</t>
  </si>
  <si>
    <t>Opening accumulated loss</t>
  </si>
  <si>
    <t>FY 25-26 figures: closing balances of Tally TB 1-Apr-25 to 31-Mar-26. FY 24-25 figures: audited FS (Rs in hundreds ×100), restated for expenses payable as noted.</t>
  </si>
  <si>
    <t>INPUTS – edit yellow cells; all statements pick these up</t>
  </si>
  <si>
    <t>Field</t>
  </si>
  <si>
    <t>Value</t>
  </si>
  <si>
    <t>Source / remark</t>
  </si>
  <si>
    <t>Company name</t>
  </si>
  <si>
    <t>HEMRAJ NARANG AND SONS PRIVATE LIMITED</t>
  </si>
  <si>
    <t>Per TB / PY FS</t>
  </si>
  <si>
    <t>Registered office</t>
  </si>
  <si>
    <t>B-49, Central Market, Mad, Dr. Ambedkar Nagar, Dr. Ambedkar Nagar (South Delhi), New Delhi, South Delhi- 110062, Delhi</t>
  </si>
  <si>
    <t>Per FY 24-25 audited FS (Kalkaji address is office address, not registered office)</t>
  </si>
  <si>
    <t>CIN</t>
  </si>
  <si>
    <t>U56102DL2023PTC421829</t>
  </si>
  <si>
    <t>Per PY FS</t>
  </si>
  <si>
    <t>Authorised equity shares (Rs 10 each) – Number</t>
  </si>
  <si>
    <t>Confirmed – no increase in authorised capital</t>
  </si>
  <si>
    <t>Auditor firm</t>
  </si>
  <si>
    <t>G R B &amp; CO</t>
  </si>
  <si>
    <t>Confirmed by client</t>
  </si>
  <si>
    <t>Auditor FRN</t>
  </si>
  <si>
    <t>040755N</t>
  </si>
  <si>
    <t>Signing partner / proprietor</t>
  </si>
  <si>
    <t>Roopali Garg</t>
  </si>
  <si>
    <t>Membership No.</t>
  </si>
  <si>
    <t>570376</t>
  </si>
  <si>
    <t>UDIN</t>
  </si>
  <si>
    <t>Director 1</t>
  </si>
  <si>
    <t>Director 1 DIN</t>
  </si>
  <si>
    <t>10368816</t>
  </si>
  <si>
    <t>Director 2</t>
  </si>
  <si>
    <t>Director 2 DIN</t>
  </si>
  <si>
    <t>10368815</t>
  </si>
  <si>
    <t>Place</t>
  </si>
  <si>
    <t>New Delhi</t>
  </si>
  <si>
    <t>Date of signing</t>
  </si>
  <si>
    <t>15th Sep, 2026</t>
  </si>
  <si>
    <t>Points to confirm before finalisation</t>
  </si>
  <si>
    <t>#</t>
  </si>
  <si>
    <t>Point</t>
  </si>
  <si>
    <t>Director loans: Rs 6,00,000 shown as Long-term borrowings. If repayable on demand → move to Short-term borrowings. Obtain directors' declaration under Rule 2(1)(c)(viii); report in DPT-3 if applicable.</t>
  </si>
  <si>
    <t>Bank receipts: Bank receipts Rs 6,02,989.50 vs director loans Rs 6,00,000 + POS reversal Rs 989.50 – balance Rs 2,000 to be identified.</t>
  </si>
  <si>
    <t>HEMRAJ NARANG AND SONS PRIVATE LIMITED (CIN U56102DL2023PTC421829) is a private limited company incorporated in India under the Companies Act, 2013. Its registered office is at B-49, Central Market, Mad, Dr. Ambedkar Nagar, Dr. Ambedkar Nagar (South Delhi), New Delhi, South Delhi- 110062, Delhi. The company is engaged in the business of preparing, selling and serving Indian and South Indian cuisine and related food and beverages, and operating restaurants, cafes, food delivery and catering services. The company had not commenced commercial operations up to 31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</si>
</sst>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
  </numFmts>
  <fonts count="9" x14ac:knownFonts="1">
    <font>
      <sz val="11"/>
      <color theme="1"/>
      <name val="Calibri"/>
      <family val="2"/>
      <charset val="1"/>
    </font>
    <font>
      <b/>
      <sz val="12"/>
      <name val="Verdana"/>
      <charset val="1"/>
    </font>
    <font>
      <sz val="9"/>
      <name val="Verdana"/>
      <charset val="1"/>
    </font>
    <font>
      <b/>
      <sz val="10"/>
      <name val="Verdana"/>
      <charset val="1"/>
    </font>
    <font>
      <i/>
      <sz val="9"/>
      <name val="Verdana"/>
      <charset val="1"/>
    </font>
    <font>
      <sz val="10"/>
      <name val="Verdana"/>
      <charset val="1"/>
    </font>
    <font>
      <sz val="10"/>
      <color rgb="FF0000FF"/>
      <name val="Verdana"/>
      <charset val="1"/>
    </font>
    <font>
      <sz val="10"/>
      <name val="Arial"/>
      <family val="2"/>
    </font>
    <font>
      <sz val="10"/>
      <color rgb="FF008000"/>
      <name val="Verdana"/>
      <charset val="1"/>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16">
    <border>
      <left/>
      <right/>
      <top/>
      <bottom/>
      <diagonal/>
    </border>
    <border>
      <left/>
      <right/>
      <top style="thin">
        <color auto="1"/>
      </top>
      <bottom/>
      <diagonal/>
    </border>
    <border>
      <left/>
      <right/>
      <top style="thin">
        <color auto="1"/>
      </top>
      <bottom style="double">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auto="1"/>
      </top>
      <bottom/>
      <diagonal/>
    </border>
    <border>
      <left/>
      <right style="medium">
        <color indexed="64"/>
      </right>
      <top style="thin">
        <color auto="1"/>
      </top>
      <bottom style="double">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0" fontId="4" fillId="0" borderId="0" xfId="0" applyFont="1"/>
    <xf numFmtId="0" fontId="3" fillId="2" borderId="0" xfId="0" applyFont="1" applyFill="1" applyAlignment="1">
      <alignment horizontal="center" vertical="center" wrapText="1"/>
    </xf>
    <xf numFmtId="164" fontId="5" fillId="0" borderId="0" xfId="0" applyNumberFormat="1" applyFont="1"/>
    <xf numFmtId="164" fontId="3" fillId="0" borderId="1" xfId="0" applyNumberFormat="1" applyFont="1" applyBorder="1"/>
    <xf numFmtId="164" fontId="3" fillId="0" borderId="2" xfId="0" applyNumberFormat="1" applyFont="1" applyBorder="1"/>
    <xf numFmtId="0" fontId="5" fillId="0" borderId="0" xfId="0" applyFont="1"/>
    <xf numFmtId="0" fontId="3" fillId="0" borderId="0" xfId="0" applyFont="1"/>
    <xf numFmtId="164" fontId="5" fillId="0" borderId="1" xfId="0" applyNumberFormat="1" applyFont="1" applyBorder="1"/>
    <xf numFmtId="164" fontId="6" fillId="0" borderId="0" xfId="0" applyNumberFormat="1" applyFont="1"/>
    <xf numFmtId="0" fontId="4" fillId="0" borderId="0" xfId="0" applyFont="1" applyAlignment="1">
      <alignment wrapText="1"/>
    </xf>
    <xf numFmtId="0" fontId="4" fillId="0" borderId="0" xfId="0" applyFont="1" applyAlignment="1">
      <alignment vertical="top" wrapText="1"/>
    </xf>
    <xf numFmtId="0" fontId="1" fillId="0" borderId="0" xfId="0" applyFont="1"/>
    <xf numFmtId="0" fontId="2" fillId="0" borderId="0" xfId="0" applyFont="1"/>
    <xf numFmtId="0" fontId="5" fillId="0" borderId="0" xfId="0" applyFont="1" applyAlignment="1">
      <alignment vertical="top" wrapText="1"/>
    </xf>
    <xf numFmtId="0" fontId="3" fillId="2" borderId="0" xfId="0" applyFont="1" applyFill="1"/>
    <xf numFmtId="3" fontId="3" fillId="0" borderId="1" xfId="0" applyNumberFormat="1" applyFont="1" applyBorder="1"/>
    <xf numFmtId="10" fontId="3" fillId="0" borderId="1" xfId="0" applyNumberFormat="1" applyFont="1" applyBorder="1"/>
    <xf numFmtId="164" fontId="8" fillId="0" borderId="0" xfId="0" applyNumberFormat="1" applyFont="1"/>
    <xf numFmtId="2" fontId="5" fillId="0" borderId="0" xfId="0" applyNumberFormat="1" applyFont="1" applyAlignment="1">
      <alignment horizontal="right"/>
    </xf>
    <xf numFmtId="10" fontId="5" fillId="0" borderId="0" xfId="0" applyNumberFormat="1" applyFont="1" applyAlignment="1">
      <alignment horizontal="right"/>
    </xf>
    <xf numFmtId="0" fontId="6" fillId="3" borderId="0" xfId="0" applyFont="1" applyFill="1" applyAlignment="1">
      <alignment wrapText="1"/>
    </xf>
    <xf numFmtId="3" fontId="6" fillId="3" borderId="0" xfId="0" applyNumberFormat="1" applyFont="1" applyFill="1" applyAlignment="1">
      <alignment wrapText="1"/>
    </xf>
    <xf numFmtId="0" fontId="0" fillId="0" borderId="3" xfId="0" applyBorder="1"/>
    <xf numFmtId="0" fontId="0" fillId="0" borderId="4" xfId="0" applyBorder="1"/>
    <xf numFmtId="0" fontId="0" fillId="0" borderId="5" xfId="0" applyBorder="1"/>
    <xf numFmtId="0" fontId="0" fillId="0" borderId="6" xfId="0" applyBorder="1"/>
    <xf numFmtId="0" fontId="1" fillId="0" borderId="0" xfId="0" applyFont="1" applyBorder="1" applyAlignment="1">
      <alignment horizontal="center"/>
    </xf>
    <xf numFmtId="0" fontId="1" fillId="0" borderId="7" xfId="0" applyFont="1" applyBorder="1" applyAlignment="1">
      <alignment horizontal="center"/>
    </xf>
    <xf numFmtId="0" fontId="2" fillId="0" borderId="0" xfId="0" applyFont="1" applyBorder="1" applyAlignment="1">
      <alignment horizontal="center" wrapText="1"/>
    </xf>
    <xf numFmtId="0" fontId="2" fillId="0" borderId="7" xfId="0" applyFont="1" applyBorder="1" applyAlignment="1">
      <alignment horizontal="center" wrapText="1"/>
    </xf>
    <xf numFmtId="0" fontId="2" fillId="0" borderId="0" xfId="0" applyFont="1" applyBorder="1" applyAlignment="1">
      <alignment horizontal="center"/>
    </xf>
    <xf numFmtId="0" fontId="2" fillId="0" borderId="7" xfId="0" applyFont="1" applyBorder="1" applyAlignment="1">
      <alignment horizontal="center"/>
    </xf>
    <xf numFmtId="0" fontId="0" fillId="0" borderId="0" xfId="0" applyBorder="1"/>
    <xf numFmtId="0" fontId="0" fillId="0" borderId="7" xfId="0" applyBorder="1"/>
    <xf numFmtId="0" fontId="3" fillId="0" borderId="0" xfId="0" applyFont="1" applyBorder="1" applyAlignment="1">
      <alignment horizontal="center"/>
    </xf>
    <xf numFmtId="0" fontId="3" fillId="0" borderId="7" xfId="0" applyFont="1" applyBorder="1" applyAlignment="1">
      <alignment horizontal="center"/>
    </xf>
    <xf numFmtId="0" fontId="4" fillId="0" borderId="7" xfId="0" applyFont="1" applyBorder="1"/>
    <xf numFmtId="0" fontId="3" fillId="2" borderId="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0" borderId="0" xfId="0" applyFont="1" applyBorder="1" applyAlignment="1">
      <alignment wrapText="1"/>
    </xf>
    <xf numFmtId="0" fontId="5" fillId="0" borderId="0" xfId="0" applyFont="1" applyBorder="1" applyAlignment="1">
      <alignment wrapText="1"/>
    </xf>
    <xf numFmtId="0" fontId="5" fillId="0" borderId="0" xfId="0" applyFont="1" applyBorder="1" applyAlignment="1">
      <alignment horizontal="center"/>
    </xf>
    <xf numFmtId="164" fontId="5" fillId="0" borderId="0" xfId="0" applyNumberFormat="1" applyFont="1" applyBorder="1"/>
    <xf numFmtId="164" fontId="5" fillId="0" borderId="7" xfId="0" applyNumberFormat="1" applyFont="1" applyBorder="1"/>
    <xf numFmtId="164" fontId="3" fillId="0" borderId="8" xfId="0" applyNumberFormat="1" applyFont="1" applyBorder="1"/>
    <xf numFmtId="164" fontId="3" fillId="0" borderId="9" xfId="0" applyNumberFormat="1" applyFont="1" applyBorder="1"/>
    <xf numFmtId="0" fontId="4" fillId="0" borderId="0" xfId="0" applyFont="1" applyBorder="1"/>
    <xf numFmtId="164" fontId="4" fillId="0" borderId="0" xfId="0" applyNumberFormat="1" applyFont="1" applyBorder="1"/>
    <xf numFmtId="164" fontId="4" fillId="0" borderId="7" xfId="0" applyNumberFormat="1" applyFont="1" applyBorder="1"/>
    <xf numFmtId="0" fontId="5" fillId="0" borderId="0" xfId="0" applyFont="1" applyBorder="1"/>
    <xf numFmtId="0" fontId="3" fillId="0" borderId="0" xfId="0" applyFont="1" applyBorder="1"/>
    <xf numFmtId="0" fontId="3" fillId="0" borderId="7" xfId="0" applyFont="1" applyBorder="1"/>
    <xf numFmtId="0" fontId="5" fillId="0" borderId="7" xfId="0" applyFont="1" applyBorder="1"/>
    <xf numFmtId="0" fontId="0" fillId="0" borderId="10" xfId="0" applyBorder="1"/>
    <xf numFmtId="0" fontId="5" fillId="0" borderId="11" xfId="0" applyFont="1" applyBorder="1"/>
    <xf numFmtId="0" fontId="0" fillId="0" borderId="11" xfId="0" applyBorder="1"/>
    <xf numFmtId="0" fontId="0" fillId="0" borderId="12" xfId="0" applyBorder="1"/>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3" xfId="0" applyFont="1" applyFill="1" applyBorder="1" applyAlignment="1">
      <alignment horizontal="center" vertical="center" wrapText="1"/>
    </xf>
    <xf numFmtId="164" fontId="5" fillId="0" borderId="8" xfId="0" applyNumberFormat="1" applyFont="1" applyBorder="1"/>
    <xf numFmtId="165" fontId="5" fillId="0" borderId="0" xfId="0" applyNumberFormat="1" applyFont="1" applyBorder="1"/>
    <xf numFmtId="165" fontId="5" fillId="0" borderId="7" xfId="0" applyNumberFormat="1" applyFont="1" applyBorder="1"/>
    <xf numFmtId="164" fontId="6" fillId="0" borderId="0" xfId="0" applyNumberFormat="1" applyFont="1" applyBorder="1"/>
    <xf numFmtId="0" fontId="4" fillId="0" borderId="0" xfId="0" applyFont="1" applyBorder="1" applyAlignment="1">
      <alignment wrapText="1"/>
    </xf>
    <xf numFmtId="0" fontId="4" fillId="0" borderId="0" xfId="0" applyFont="1" applyBorder="1" applyAlignment="1">
      <alignment vertical="top" wrapText="1"/>
    </xf>
    <xf numFmtId="0" fontId="1" fillId="0" borderId="4" xfId="0" applyFont="1" applyBorder="1"/>
    <xf numFmtId="0" fontId="3" fillId="2" borderId="0" xfId="0" applyFont="1" applyFill="1" applyBorder="1"/>
    <xf numFmtId="3" fontId="6" fillId="0" borderId="0" xfId="0" applyNumberFormat="1" applyFont="1" applyBorder="1"/>
    <xf numFmtId="3" fontId="5" fillId="0" borderId="0" xfId="0" applyNumberFormat="1" applyFont="1" applyBorder="1"/>
    <xf numFmtId="0" fontId="5" fillId="0" borderId="0" xfId="0" applyFont="1" applyBorder="1" applyAlignment="1">
      <alignment vertical="top" wrapText="1"/>
    </xf>
    <xf numFmtId="10" fontId="5" fillId="0" borderId="0" xfId="0" applyNumberFormat="1" applyFont="1" applyBorder="1"/>
    <xf numFmtId="10" fontId="5" fillId="0" borderId="7" xfId="0" applyNumberFormat="1" applyFont="1" applyBorder="1"/>
    <xf numFmtId="10" fontId="3" fillId="0" borderId="8" xfId="0" applyNumberFormat="1" applyFont="1" applyBorder="1"/>
    <xf numFmtId="164" fontId="8" fillId="0" borderId="0" xfId="0" applyNumberFormat="1" applyFont="1" applyBorder="1"/>
    <xf numFmtId="165" fontId="3" fillId="0" borderId="0"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1</xdr:col>
      <xdr:colOff>1809360</xdr:colOff>
      <xdr:row>52</xdr:row>
      <xdr:rowOff>3813</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11320" y="9410760"/>
          <a:ext cx="1809360" cy="952200"/>
        </a:xfrm>
        <a:prstGeom prst="rect">
          <a:avLst/>
        </a:prstGeom>
        <a:ln w="0">
          <a:noFill/>
        </a:ln>
      </xdr:spPr>
    </xdr:pic>
    <xdr:clientData/>
  </xdr:twoCellAnchor>
  <xdr:twoCellAnchor editAs="oneCell">
    <xdr:from>
      <xdr:col>3</xdr:col>
      <xdr:colOff>0</xdr:colOff>
      <xdr:row>47</xdr:row>
      <xdr:rowOff>0</xdr:rowOff>
    </xdr:from>
    <xdr:to>
      <xdr:col>3</xdr:col>
      <xdr:colOff>1285560</xdr:colOff>
      <xdr:row>50</xdr:row>
      <xdr:rowOff>114120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5568480" y="9410760"/>
          <a:ext cx="1285560" cy="685440"/>
        </a:xfrm>
        <a:prstGeom prst="rect">
          <a:avLst/>
        </a:prstGeom>
        <a:ln w="0">
          <a:noFill/>
        </a:ln>
      </xdr:spPr>
    </xdr:pic>
    <xdr:clientData/>
  </xdr:twoCellAnchor>
  <xdr:twoCellAnchor editAs="oneCell">
    <xdr:from>
      <xdr:col>4</xdr:col>
      <xdr:colOff>0</xdr:colOff>
      <xdr:row>47</xdr:row>
      <xdr:rowOff>0</xdr:rowOff>
    </xdr:from>
    <xdr:to>
      <xdr:col>4</xdr:col>
      <xdr:colOff>1190160</xdr:colOff>
      <xdr:row>50</xdr:row>
      <xdr:rowOff>114120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6977880" y="9410760"/>
          <a:ext cx="1190160" cy="685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7056</xdr:colOff>
      <xdr:row>44</xdr:row>
      <xdr:rowOff>42333</xdr:rowOff>
    </xdr:from>
    <xdr:to>
      <xdr:col>1</xdr:col>
      <xdr:colOff>1816416</xdr:colOff>
      <xdr:row>49</xdr:row>
      <xdr:rowOff>46147</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a:xfrm>
          <a:off x="218723" y="8466666"/>
          <a:ext cx="1809360" cy="921037"/>
        </a:xfrm>
        <a:prstGeom prst="rect">
          <a:avLst/>
        </a:prstGeom>
        <a:ln w="0">
          <a:noFill/>
        </a:ln>
      </xdr:spPr>
    </xdr:pic>
    <xdr:clientData/>
  </xdr:twoCellAnchor>
  <xdr:twoCellAnchor editAs="oneCell">
    <xdr:from>
      <xdr:col>1</xdr:col>
      <xdr:colOff>4346222</xdr:colOff>
      <xdr:row>44</xdr:row>
      <xdr:rowOff>35278</xdr:rowOff>
    </xdr:from>
    <xdr:to>
      <xdr:col>3</xdr:col>
      <xdr:colOff>1179727</xdr:colOff>
      <xdr:row>49</xdr:row>
      <xdr:rowOff>77611</xdr:rowOff>
    </xdr:to>
    <xdr:pic>
      <xdr:nvPicPr>
        <xdr:cNvPr id="4" name="Image 2"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4557889" y="8459611"/>
          <a:ext cx="2139282" cy="959556"/>
        </a:xfrm>
        <a:prstGeom prst="rect">
          <a:avLst/>
        </a:prstGeom>
        <a:ln w="0">
          <a:noFill/>
        </a:ln>
      </xdr:spPr>
    </xdr:pic>
    <xdr:clientData/>
  </xdr:twoCellAnchor>
  <xdr:twoCellAnchor editAs="oneCell">
    <xdr:from>
      <xdr:col>3</xdr:col>
      <xdr:colOff>1044223</xdr:colOff>
      <xdr:row>44</xdr:row>
      <xdr:rowOff>49388</xdr:rowOff>
    </xdr:from>
    <xdr:to>
      <xdr:col>4</xdr:col>
      <xdr:colOff>1366549</xdr:colOff>
      <xdr:row>49</xdr:row>
      <xdr:rowOff>134054</xdr:rowOff>
    </xdr:to>
    <xdr:pic>
      <xdr:nvPicPr>
        <xdr:cNvPr id="5" name="Image 3"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3"/>
        <a:stretch/>
      </xdr:blipFill>
      <xdr:spPr>
        <a:xfrm>
          <a:off x="6561667" y="8473721"/>
          <a:ext cx="1719326" cy="1001889"/>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381000</xdr:colOff>
      <xdr:row>48</xdr:row>
      <xdr:rowOff>111125</xdr:rowOff>
    </xdr:from>
    <xdr:to>
      <xdr:col>2</xdr:col>
      <xdr:colOff>1769672</xdr:colOff>
      <xdr:row>53</xdr:row>
      <xdr:rowOff>115298</xdr:rowOff>
    </xdr:to>
    <xdr:pic>
      <xdr:nvPicPr>
        <xdr:cNvPr id="6" name="Image 1"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stretch/>
      </xdr:blipFill>
      <xdr:spPr>
        <a:xfrm>
          <a:off x="587375" y="9882188"/>
          <a:ext cx="1809360" cy="916985"/>
        </a:xfrm>
        <a:prstGeom prst="rect">
          <a:avLst/>
        </a:prstGeom>
        <a:ln w="0">
          <a:noFill/>
        </a:ln>
      </xdr:spPr>
    </xdr:pic>
    <xdr:clientData/>
  </xdr:twoCellAnchor>
  <xdr:twoCellAnchor editAs="oneCell">
    <xdr:from>
      <xdr:col>2</xdr:col>
      <xdr:colOff>3508375</xdr:colOff>
      <xdr:row>47</xdr:row>
      <xdr:rowOff>15876</xdr:rowOff>
    </xdr:from>
    <xdr:to>
      <xdr:col>3</xdr:col>
      <xdr:colOff>1222061</xdr:colOff>
      <xdr:row>53</xdr:row>
      <xdr:rowOff>42683</xdr:rowOff>
    </xdr:to>
    <xdr:pic>
      <xdr:nvPicPr>
        <xdr:cNvPr id="7" name="Image 2"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2"/>
        <a:stretch/>
      </xdr:blipFill>
      <xdr:spPr>
        <a:xfrm>
          <a:off x="4135438" y="9604376"/>
          <a:ext cx="2325373" cy="1122182"/>
        </a:xfrm>
        <a:prstGeom prst="rect">
          <a:avLst/>
        </a:prstGeom>
        <a:ln w="0">
          <a:noFill/>
        </a:ln>
      </xdr:spPr>
    </xdr:pic>
    <xdr:clientData/>
  </xdr:twoCellAnchor>
  <xdr:twoCellAnchor editAs="oneCell">
    <xdr:from>
      <xdr:col>3</xdr:col>
      <xdr:colOff>1119188</xdr:colOff>
      <xdr:row>47</xdr:row>
      <xdr:rowOff>158752</xdr:rowOff>
    </xdr:from>
    <xdr:to>
      <xdr:col>5</xdr:col>
      <xdr:colOff>444500</xdr:colOff>
      <xdr:row>53</xdr:row>
      <xdr:rowOff>90309</xdr:rowOff>
    </xdr:to>
    <xdr:pic>
      <xdr:nvPicPr>
        <xdr:cNvPr id="8" name="Image 3"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3"/>
        <a:stretch/>
      </xdr:blipFill>
      <xdr:spPr>
        <a:xfrm>
          <a:off x="6357938" y="9747252"/>
          <a:ext cx="2119312" cy="1026932"/>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204611</xdr:colOff>
      <xdr:row>167</xdr:row>
      <xdr:rowOff>50406</xdr:rowOff>
    </xdr:from>
    <xdr:to>
      <xdr:col>1</xdr:col>
      <xdr:colOff>1802304</xdr:colOff>
      <xdr:row>172</xdr:row>
      <xdr:rowOff>50406</xdr:rowOff>
    </xdr:to>
    <xdr:pic>
      <xdr:nvPicPr>
        <xdr:cNvPr id="9" name="Image 1"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1"/>
        <a:stretch/>
      </xdr:blipFill>
      <xdr:spPr>
        <a:xfrm>
          <a:off x="204611" y="40711573"/>
          <a:ext cx="1809360" cy="917222"/>
        </a:xfrm>
        <a:prstGeom prst="rect">
          <a:avLst/>
        </a:prstGeom>
        <a:ln w="0">
          <a:noFill/>
        </a:ln>
      </xdr:spPr>
    </xdr:pic>
    <xdr:clientData/>
  </xdr:twoCellAnchor>
  <xdr:twoCellAnchor editAs="oneCell">
    <xdr:from>
      <xdr:col>1</xdr:col>
      <xdr:colOff>4219222</xdr:colOff>
      <xdr:row>167</xdr:row>
      <xdr:rowOff>78629</xdr:rowOff>
    </xdr:from>
    <xdr:to>
      <xdr:col>3</xdr:col>
      <xdr:colOff>16920</xdr:colOff>
      <xdr:row>171</xdr:row>
      <xdr:rowOff>148167</xdr:rowOff>
    </xdr:to>
    <xdr:pic>
      <xdr:nvPicPr>
        <xdr:cNvPr id="10" name="Image 2"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2"/>
        <a:stretch/>
      </xdr:blipFill>
      <xdr:spPr>
        <a:xfrm>
          <a:off x="4430889" y="40739796"/>
          <a:ext cx="1801975" cy="803315"/>
        </a:xfrm>
        <a:prstGeom prst="rect">
          <a:avLst/>
        </a:prstGeom>
        <a:ln w="0">
          <a:noFill/>
        </a:ln>
      </xdr:spPr>
    </xdr:pic>
    <xdr:clientData/>
  </xdr:twoCellAnchor>
  <xdr:twoCellAnchor editAs="oneCell">
    <xdr:from>
      <xdr:col>3</xdr:col>
      <xdr:colOff>183445</xdr:colOff>
      <xdr:row>167</xdr:row>
      <xdr:rowOff>21166</xdr:rowOff>
    </xdr:from>
    <xdr:to>
      <xdr:col>4</xdr:col>
      <xdr:colOff>1248834</xdr:colOff>
      <xdr:row>171</xdr:row>
      <xdr:rowOff>162278</xdr:rowOff>
    </xdr:to>
    <xdr:pic>
      <xdr:nvPicPr>
        <xdr:cNvPr id="11" name="Image 3"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3"/>
        <a:stretch/>
      </xdr:blipFill>
      <xdr:spPr>
        <a:xfrm>
          <a:off x="6399389" y="40682333"/>
          <a:ext cx="2321278" cy="874889"/>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8"/>
  <sheetViews>
    <sheetView showGridLines="0" tabSelected="1" view="pageBreakPreview" zoomScaleNormal="100" zoomScaleSheetLayoutView="100" workbookViewId="0">
      <selection activeCell="B7" sqref="B7"/>
    </sheetView>
  </sheetViews>
  <sheetFormatPr defaultColWidth="8.6328125" defaultRowHeight="14.5" x14ac:dyDescent="0.35"/>
  <cols>
    <col min="1" max="1" width="3" customWidth="1"/>
    <col min="2" max="2" width="66" customWidth="1"/>
    <col min="3" max="3" width="10" customWidth="1"/>
    <col min="4" max="5" width="20" customWidth="1"/>
  </cols>
  <sheetData>
    <row r="1" spans="1:5" x14ac:dyDescent="0.35">
      <c r="A1" s="23"/>
      <c r="B1" s="24"/>
      <c r="C1" s="24"/>
      <c r="D1" s="24"/>
      <c r="E1" s="25"/>
    </row>
    <row r="2" spans="1:5" ht="15.5" x14ac:dyDescent="0.35">
      <c r="A2" s="26"/>
      <c r="B2" s="27" t="str">
        <f>Inputs!$B$4</f>
        <v>HEMRAJ NARANG AND SONS PRIVATE LIMITED</v>
      </c>
      <c r="C2" s="27"/>
      <c r="D2" s="27"/>
      <c r="E2" s="28"/>
    </row>
    <row r="3" spans="1:5" ht="25.5" customHeight="1" x14ac:dyDescent="0.35">
      <c r="A3" s="26"/>
      <c r="B3" s="29" t="str">
        <f>Inputs!$B$5</f>
        <v>B-49, Central Market, Mad, Dr. Ambedkar Nagar, Dr. Ambedkar Nagar (South Delhi), New Delhi, South Delhi- 110062, Delhi</v>
      </c>
      <c r="C3" s="29"/>
      <c r="D3" s="29"/>
      <c r="E3" s="30"/>
    </row>
    <row r="4" spans="1:5" x14ac:dyDescent="0.35">
      <c r="A4" s="26"/>
      <c r="B4" s="31" t="str">
        <f>"Corporate Identity Number: "&amp;Inputs!$B$6</f>
        <v>Corporate Identity Number: U56102DL2023PTC421829</v>
      </c>
      <c r="C4" s="31"/>
      <c r="D4" s="31"/>
      <c r="E4" s="32"/>
    </row>
    <row r="5" spans="1:5" x14ac:dyDescent="0.35">
      <c r="A5" s="26"/>
      <c r="B5" s="33"/>
      <c r="C5" s="33"/>
      <c r="D5" s="33"/>
      <c r="E5" s="34"/>
    </row>
    <row r="6" spans="1:5" x14ac:dyDescent="0.35">
      <c r="A6" s="26"/>
      <c r="B6" s="35" t="s">
        <v>0</v>
      </c>
      <c r="C6" s="35"/>
      <c r="D6" s="35"/>
      <c r="E6" s="36"/>
    </row>
    <row r="7" spans="1:5" x14ac:dyDescent="0.35">
      <c r="A7" s="26"/>
      <c r="B7" s="33"/>
      <c r="C7" s="33"/>
      <c r="D7" s="33"/>
      <c r="E7" s="34"/>
    </row>
    <row r="8" spans="1:5" ht="15" thickBot="1" x14ac:dyDescent="0.4">
      <c r="A8" s="26"/>
      <c r="B8" s="33"/>
      <c r="C8" s="33"/>
      <c r="D8" s="33"/>
      <c r="E8" s="37" t="s">
        <v>1</v>
      </c>
    </row>
    <row r="9" spans="1:5" ht="30" customHeight="1" thickBot="1" x14ac:dyDescent="0.4">
      <c r="A9" s="60"/>
      <c r="B9" s="58" t="s">
        <v>2</v>
      </c>
      <c r="C9" s="58" t="s">
        <v>3</v>
      </c>
      <c r="D9" s="58" t="s">
        <v>4</v>
      </c>
      <c r="E9" s="59" t="s">
        <v>5</v>
      </c>
    </row>
    <row r="10" spans="1:5" x14ac:dyDescent="0.35">
      <c r="A10" s="26"/>
      <c r="B10" s="40" t="s">
        <v>6</v>
      </c>
      <c r="C10" s="33"/>
      <c r="D10" s="33"/>
      <c r="E10" s="34"/>
    </row>
    <row r="11" spans="1:5" x14ac:dyDescent="0.35">
      <c r="A11" s="26"/>
      <c r="B11" s="40" t="s">
        <v>7</v>
      </c>
      <c r="C11" s="33"/>
      <c r="D11" s="33"/>
      <c r="E11" s="34"/>
    </row>
    <row r="12" spans="1:5" x14ac:dyDescent="0.35">
      <c r="A12" s="26"/>
      <c r="B12" s="41" t="s">
        <v>8</v>
      </c>
      <c r="C12" s="42">
        <v>1</v>
      </c>
      <c r="D12" s="43">
        <f>Notes!C10</f>
        <v>1000</v>
      </c>
      <c r="E12" s="44">
        <f>Notes!D10</f>
        <v>1000</v>
      </c>
    </row>
    <row r="13" spans="1:5" x14ac:dyDescent="0.35">
      <c r="A13" s="26"/>
      <c r="B13" s="41" t="s">
        <v>9</v>
      </c>
      <c r="C13" s="42">
        <v>2</v>
      </c>
      <c r="D13" s="43">
        <f>Notes!C37</f>
        <v>-2777.9870000000001</v>
      </c>
      <c r="E13" s="44">
        <f>Notes!D37</f>
        <v>-900</v>
      </c>
    </row>
    <row r="14" spans="1:5" x14ac:dyDescent="0.35">
      <c r="A14" s="26"/>
      <c r="B14" s="40"/>
      <c r="C14" s="33"/>
      <c r="D14" s="4">
        <f>SUM(D12:D13)</f>
        <v>-1777.9870000000001</v>
      </c>
      <c r="E14" s="45">
        <f>SUM(E12:E13)</f>
        <v>100</v>
      </c>
    </row>
    <row r="15" spans="1:5" x14ac:dyDescent="0.35">
      <c r="A15" s="26"/>
      <c r="B15" s="40" t="s">
        <v>10</v>
      </c>
      <c r="C15" s="33"/>
      <c r="D15" s="33"/>
      <c r="E15" s="34"/>
    </row>
    <row r="16" spans="1:5" x14ac:dyDescent="0.35">
      <c r="A16" s="26"/>
      <c r="B16" s="41" t="s">
        <v>11</v>
      </c>
      <c r="C16" s="42">
        <v>3</v>
      </c>
      <c r="D16" s="43">
        <f>Notes!C43</f>
        <v>6000</v>
      </c>
      <c r="E16" s="44">
        <f>Notes!D43</f>
        <v>0</v>
      </c>
    </row>
    <row r="17" spans="1:5" x14ac:dyDescent="0.35">
      <c r="A17" s="26"/>
      <c r="B17" s="40"/>
      <c r="C17" s="33"/>
      <c r="D17" s="4">
        <f>SUM(D16:D16)</f>
        <v>6000</v>
      </c>
      <c r="E17" s="45">
        <f>SUM(E16:E16)</f>
        <v>0</v>
      </c>
    </row>
    <row r="18" spans="1:5" x14ac:dyDescent="0.35">
      <c r="A18" s="26"/>
      <c r="B18" s="40" t="s">
        <v>12</v>
      </c>
      <c r="C18" s="33"/>
      <c r="D18" s="33"/>
      <c r="E18" s="34"/>
    </row>
    <row r="19" spans="1:5" x14ac:dyDescent="0.35">
      <c r="A19" s="26"/>
      <c r="B19" s="41" t="s">
        <v>13</v>
      </c>
      <c r="C19" s="42">
        <v>4</v>
      </c>
      <c r="D19" s="33"/>
      <c r="E19" s="34"/>
    </row>
    <row r="20" spans="1:5" x14ac:dyDescent="0.35">
      <c r="A20" s="26"/>
      <c r="B20" s="41" t="s">
        <v>14</v>
      </c>
      <c r="C20" s="33"/>
      <c r="D20" s="43">
        <f>Notes!C50</f>
        <v>0</v>
      </c>
      <c r="E20" s="44">
        <f>Notes!D50</f>
        <v>0</v>
      </c>
    </row>
    <row r="21" spans="1:5" ht="25.5" customHeight="1" x14ac:dyDescent="0.35">
      <c r="A21" s="26"/>
      <c r="B21" s="41" t="s">
        <v>15</v>
      </c>
      <c r="C21" s="33"/>
      <c r="D21" s="43">
        <f>Notes!C51</f>
        <v>0</v>
      </c>
      <c r="E21" s="44">
        <f>Notes!D51</f>
        <v>0</v>
      </c>
    </row>
    <row r="22" spans="1:5" x14ac:dyDescent="0.35">
      <c r="A22" s="26"/>
      <c r="B22" s="41" t="s">
        <v>16</v>
      </c>
      <c r="C22" s="42">
        <v>5</v>
      </c>
      <c r="D22" s="43">
        <f>Notes!C60</f>
        <v>1150</v>
      </c>
      <c r="E22" s="44">
        <f>Notes!D60</f>
        <v>400</v>
      </c>
    </row>
    <row r="23" spans="1:5" x14ac:dyDescent="0.35">
      <c r="A23" s="26"/>
      <c r="B23" s="41" t="s">
        <v>17</v>
      </c>
      <c r="C23" s="42">
        <v>6</v>
      </c>
      <c r="D23" s="43">
        <f>Notes!C67</f>
        <v>0</v>
      </c>
      <c r="E23" s="44">
        <f>Notes!D67</f>
        <v>0</v>
      </c>
    </row>
    <row r="24" spans="1:5" x14ac:dyDescent="0.35">
      <c r="A24" s="26"/>
      <c r="B24" s="40"/>
      <c r="C24" s="33"/>
      <c r="D24" s="4">
        <f>SUM(D20:D23)</f>
        <v>1150</v>
      </c>
      <c r="E24" s="45">
        <f>SUM(E20:E23)</f>
        <v>400</v>
      </c>
    </row>
    <row r="25" spans="1:5" ht="15" thickBot="1" x14ac:dyDescent="0.4">
      <c r="A25" s="26"/>
      <c r="B25" s="40" t="s">
        <v>18</v>
      </c>
      <c r="C25" s="33"/>
      <c r="D25" s="5">
        <f>D14+D17+D24</f>
        <v>5372.0129999999999</v>
      </c>
      <c r="E25" s="46">
        <f>E14+E17+E24</f>
        <v>500</v>
      </c>
    </row>
    <row r="26" spans="1:5" ht="15" thickTop="1" x14ac:dyDescent="0.35">
      <c r="A26" s="26"/>
      <c r="B26" s="33"/>
      <c r="C26" s="33"/>
      <c r="D26" s="33"/>
      <c r="E26" s="34"/>
    </row>
    <row r="27" spans="1:5" x14ac:dyDescent="0.35">
      <c r="A27" s="26"/>
      <c r="B27" s="40" t="s">
        <v>19</v>
      </c>
      <c r="C27" s="33"/>
      <c r="D27" s="33"/>
      <c r="E27" s="34"/>
    </row>
    <row r="28" spans="1:5" x14ac:dyDescent="0.35">
      <c r="A28" s="26"/>
      <c r="B28" s="40" t="s">
        <v>20</v>
      </c>
      <c r="C28" s="33"/>
      <c r="D28" s="33"/>
      <c r="E28" s="34"/>
    </row>
    <row r="29" spans="1:5" x14ac:dyDescent="0.35">
      <c r="A29" s="26"/>
      <c r="B29" s="41" t="s">
        <v>21</v>
      </c>
      <c r="C29" s="42">
        <v>7</v>
      </c>
      <c r="D29" s="43">
        <f>Notes!C73</f>
        <v>4800</v>
      </c>
      <c r="E29" s="44">
        <f>Notes!D73</f>
        <v>0</v>
      </c>
    </row>
    <row r="30" spans="1:5" x14ac:dyDescent="0.35">
      <c r="A30" s="26"/>
      <c r="B30" s="40"/>
      <c r="C30" s="33"/>
      <c r="D30" s="4">
        <f>SUM(D29:D29)</f>
        <v>4800</v>
      </c>
      <c r="E30" s="45">
        <f>SUM(E29:E29)</f>
        <v>0</v>
      </c>
    </row>
    <row r="31" spans="1:5" x14ac:dyDescent="0.35">
      <c r="A31" s="26"/>
      <c r="B31" s="40" t="s">
        <v>22</v>
      </c>
      <c r="C31" s="33"/>
      <c r="D31" s="33"/>
      <c r="E31" s="34"/>
    </row>
    <row r="32" spans="1:5" x14ac:dyDescent="0.35">
      <c r="A32" s="26"/>
      <c r="B32" s="41" t="s">
        <v>23</v>
      </c>
      <c r="C32" s="42">
        <v>8</v>
      </c>
      <c r="D32" s="43">
        <f>Notes!C81</f>
        <v>572.01300000000003</v>
      </c>
      <c r="E32" s="44">
        <f>Notes!D81</f>
        <v>500</v>
      </c>
    </row>
    <row r="33" spans="1:5" x14ac:dyDescent="0.35">
      <c r="A33" s="26"/>
      <c r="B33" s="40"/>
      <c r="C33" s="33"/>
      <c r="D33" s="4">
        <f>SUM(D32:D32)</f>
        <v>572.01300000000003</v>
      </c>
      <c r="E33" s="45">
        <f>SUM(E32:E32)</f>
        <v>500</v>
      </c>
    </row>
    <row r="34" spans="1:5" ht="15" thickBot="1" x14ac:dyDescent="0.4">
      <c r="A34" s="26"/>
      <c r="B34" s="40" t="s">
        <v>18</v>
      </c>
      <c r="C34" s="33"/>
      <c r="D34" s="5">
        <f>D30+D33</f>
        <v>5372.0129999999999</v>
      </c>
      <c r="E34" s="46">
        <f>E30+E33</f>
        <v>500</v>
      </c>
    </row>
    <row r="35" spans="1:5" ht="15" thickTop="1" x14ac:dyDescent="0.35">
      <c r="A35" s="26"/>
      <c r="B35" s="33"/>
      <c r="C35" s="33"/>
      <c r="D35" s="33"/>
      <c r="E35" s="34"/>
    </row>
    <row r="36" spans="1:5" x14ac:dyDescent="0.35">
      <c r="A36" s="26"/>
      <c r="B36" s="47" t="s">
        <v>24</v>
      </c>
      <c r="C36" s="33"/>
      <c r="D36" s="48">
        <f>ROUND(D25-D34,2)</f>
        <v>0</v>
      </c>
      <c r="E36" s="49">
        <f>ROUND(E25-E34,2)</f>
        <v>0</v>
      </c>
    </row>
    <row r="37" spans="1:5" x14ac:dyDescent="0.35">
      <c r="A37" s="26"/>
      <c r="B37" s="33"/>
      <c r="C37" s="33"/>
      <c r="D37" s="33"/>
      <c r="E37" s="34"/>
    </row>
    <row r="38" spans="1:5" x14ac:dyDescent="0.35">
      <c r="A38" s="26"/>
      <c r="B38" s="50" t="s">
        <v>25</v>
      </c>
      <c r="C38" s="42" t="s">
        <v>26</v>
      </c>
      <c r="D38" s="33"/>
      <c r="E38" s="34"/>
    </row>
    <row r="39" spans="1:5" x14ac:dyDescent="0.35">
      <c r="A39" s="26"/>
      <c r="B39" s="50" t="s">
        <v>27</v>
      </c>
      <c r="C39" s="42" t="s">
        <v>28</v>
      </c>
      <c r="D39" s="33"/>
      <c r="E39" s="34"/>
    </row>
    <row r="40" spans="1:5" x14ac:dyDescent="0.35">
      <c r="A40" s="26"/>
      <c r="B40" s="47" t="s">
        <v>29</v>
      </c>
      <c r="C40" s="33"/>
      <c r="D40" s="33"/>
      <c r="E40" s="34"/>
    </row>
    <row r="41" spans="1:5" x14ac:dyDescent="0.35">
      <c r="A41" s="26"/>
      <c r="B41" s="33"/>
      <c r="C41" s="33"/>
      <c r="D41" s="33"/>
      <c r="E41" s="34"/>
    </row>
    <row r="42" spans="1:5" x14ac:dyDescent="0.35">
      <c r="A42" s="26"/>
      <c r="B42" s="50" t="s">
        <v>30</v>
      </c>
      <c r="C42" s="33"/>
      <c r="D42" s="33"/>
      <c r="E42" s="34"/>
    </row>
    <row r="43" spans="1:5" x14ac:dyDescent="0.35">
      <c r="A43" s="26"/>
      <c r="B43" s="33"/>
      <c r="C43" s="33"/>
      <c r="D43" s="33"/>
      <c r="E43" s="34"/>
    </row>
    <row r="44" spans="1:5" x14ac:dyDescent="0.35">
      <c r="A44" s="26"/>
      <c r="B44" s="50" t="s">
        <v>31</v>
      </c>
      <c r="C44" s="33"/>
      <c r="D44" s="50" t="s">
        <v>32</v>
      </c>
      <c r="E44" s="34"/>
    </row>
    <row r="45" spans="1:5" x14ac:dyDescent="0.35">
      <c r="A45" s="26"/>
      <c r="B45" s="51" t="str">
        <f>Inputs!$B$8</f>
        <v>G R B &amp; CO</v>
      </c>
      <c r="C45" s="33"/>
      <c r="D45" s="33"/>
      <c r="E45" s="34"/>
    </row>
    <row r="46" spans="1:5" x14ac:dyDescent="0.35">
      <c r="A46" s="26"/>
      <c r="B46" s="50" t="s">
        <v>33</v>
      </c>
      <c r="C46" s="33"/>
      <c r="D46" s="33"/>
      <c r="E46" s="34"/>
    </row>
    <row r="47" spans="1:5" x14ac:dyDescent="0.35">
      <c r="A47" s="26"/>
      <c r="B47" s="50" t="str">
        <f>"FRN No. "&amp;Inputs!$B$9</f>
        <v>FRN No. 040755N</v>
      </c>
      <c r="C47" s="33"/>
      <c r="D47" s="33"/>
      <c r="E47" s="34"/>
    </row>
    <row r="48" spans="1:5" x14ac:dyDescent="0.35">
      <c r="A48" s="26"/>
      <c r="B48" s="33"/>
      <c r="C48" s="33"/>
      <c r="D48" s="33"/>
      <c r="E48" s="34"/>
    </row>
    <row r="49" spans="1:5" x14ac:dyDescent="0.35">
      <c r="A49" s="26"/>
      <c r="B49" s="33"/>
      <c r="C49" s="33"/>
      <c r="D49" s="33"/>
      <c r="E49" s="34"/>
    </row>
    <row r="50" spans="1:5" x14ac:dyDescent="0.35">
      <c r="A50" s="26"/>
      <c r="B50" s="33"/>
      <c r="C50" s="33"/>
      <c r="D50" s="33"/>
      <c r="E50" s="34"/>
    </row>
    <row r="51" spans="1:5" x14ac:dyDescent="0.35">
      <c r="A51" s="26"/>
      <c r="B51" s="33"/>
      <c r="C51" s="33"/>
      <c r="D51" s="33"/>
      <c r="E51" s="34"/>
    </row>
    <row r="52" spans="1:5" x14ac:dyDescent="0.35">
      <c r="A52" s="26"/>
      <c r="B52" s="33"/>
      <c r="C52" s="33"/>
      <c r="D52" s="33"/>
      <c r="E52" s="34"/>
    </row>
    <row r="53" spans="1:5" x14ac:dyDescent="0.35">
      <c r="A53" s="26"/>
      <c r="B53" s="33"/>
      <c r="C53" s="33"/>
      <c r="D53" s="33"/>
      <c r="E53" s="34"/>
    </row>
    <row r="54" spans="1:5" x14ac:dyDescent="0.35">
      <c r="A54" s="26"/>
      <c r="B54" s="51" t="str">
        <f>Inputs!$B$10</f>
        <v>Roopali Garg</v>
      </c>
      <c r="C54" s="33"/>
      <c r="D54" s="51" t="str">
        <f>Inputs!$B$13</f>
        <v>MANSHU NARANG</v>
      </c>
      <c r="E54" s="52" t="str">
        <f>Inputs!$B$15</f>
        <v>LOKESH NARANG</v>
      </c>
    </row>
    <row r="55" spans="1:5" x14ac:dyDescent="0.35">
      <c r="A55" s="26"/>
      <c r="B55" s="50" t="str">
        <f>"Proprietor  M.No. "&amp;Inputs!$B$11</f>
        <v>Proprietor  M.No. 570376</v>
      </c>
      <c r="C55" s="33"/>
      <c r="D55" s="50" t="s">
        <v>34</v>
      </c>
      <c r="E55" s="53" t="s">
        <v>34</v>
      </c>
    </row>
    <row r="56" spans="1:5" x14ac:dyDescent="0.35">
      <c r="A56" s="26"/>
      <c r="B56" s="50" t="str">
        <f>"UDIN: "&amp;Inputs!$B$12</f>
        <v xml:space="preserve">UDIN: </v>
      </c>
      <c r="C56" s="33"/>
      <c r="D56" s="50" t="str">
        <f>"DIN: "&amp;Inputs!$B$14</f>
        <v>DIN: 10368816</v>
      </c>
      <c r="E56" s="53" t="str">
        <f>"DIN: "&amp;Inputs!$B$16</f>
        <v>DIN: 10368815</v>
      </c>
    </row>
    <row r="57" spans="1:5" x14ac:dyDescent="0.35">
      <c r="A57" s="26"/>
      <c r="B57" s="50" t="str">
        <f>"Place : "&amp;Inputs!$B$17</f>
        <v>Place : New Delhi</v>
      </c>
      <c r="C57" s="33"/>
      <c r="D57" s="33"/>
      <c r="E57" s="34"/>
    </row>
    <row r="58" spans="1:5" ht="15" thickBot="1" x14ac:dyDescent="0.4">
      <c r="A58" s="54"/>
      <c r="B58" s="55" t="str">
        <f>"Date  : "&amp;Inputs!$B$18</f>
        <v>Date  : 15th Sep, 2026</v>
      </c>
      <c r="C58" s="56"/>
      <c r="D58" s="56"/>
      <c r="E58" s="57"/>
    </row>
  </sheetData>
  <mergeCells count="4">
    <mergeCell ref="B2:E2"/>
    <mergeCell ref="B3:E3"/>
    <mergeCell ref="B4:E4"/>
    <mergeCell ref="B6:E6"/>
  </mergeCells>
  <pageMargins left="0.75" right="0.75" top="1" bottom="1" header="0.511811023622047" footer="0.511811023622047"/>
  <pageSetup paperSize="9" scale="72"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55"/>
  <sheetViews>
    <sheetView showGridLines="0" view="pageBreakPreview" zoomScale="90" zoomScaleNormal="100" zoomScaleSheetLayoutView="90" workbookViewId="0"/>
  </sheetViews>
  <sheetFormatPr defaultColWidth="8.6328125" defaultRowHeight="14.5" x14ac:dyDescent="0.35"/>
  <cols>
    <col min="1" max="1" width="3" customWidth="1"/>
    <col min="2" max="2" width="66" customWidth="1"/>
    <col min="3" max="3" width="10" customWidth="1"/>
    <col min="4" max="5" width="20" customWidth="1"/>
  </cols>
  <sheetData>
    <row r="1" spans="1:5" x14ac:dyDescent="0.35">
      <c r="A1" s="23"/>
      <c r="B1" s="24"/>
      <c r="C1" s="24"/>
      <c r="D1" s="24"/>
      <c r="E1" s="25"/>
    </row>
    <row r="2" spans="1:5" ht="15.5" x14ac:dyDescent="0.35">
      <c r="A2" s="26"/>
      <c r="B2" s="27" t="str">
        <f>Inputs!$B$4</f>
        <v>HEMRAJ NARANG AND SONS PRIVATE LIMITED</v>
      </c>
      <c r="C2" s="27"/>
      <c r="D2" s="27"/>
      <c r="E2" s="28"/>
    </row>
    <row r="3" spans="1:5" ht="25.5" customHeight="1" x14ac:dyDescent="0.35">
      <c r="A3" s="26"/>
      <c r="B3" s="29" t="str">
        <f>Inputs!$B$5</f>
        <v>B-49, Central Market, Mad, Dr. Ambedkar Nagar, Dr. Ambedkar Nagar (South Delhi), New Delhi, South Delhi- 110062, Delhi</v>
      </c>
      <c r="C3" s="29"/>
      <c r="D3" s="29"/>
      <c r="E3" s="30"/>
    </row>
    <row r="4" spans="1:5" x14ac:dyDescent="0.35">
      <c r="A4" s="26"/>
      <c r="B4" s="31" t="str">
        <f>"Corporate Identity Number: "&amp;Inputs!$B$6</f>
        <v>Corporate Identity Number: U56102DL2023PTC421829</v>
      </c>
      <c r="C4" s="31"/>
      <c r="D4" s="31"/>
      <c r="E4" s="32"/>
    </row>
    <row r="5" spans="1:5" x14ac:dyDescent="0.35">
      <c r="A5" s="26"/>
      <c r="B5" s="33"/>
      <c r="C5" s="33"/>
      <c r="D5" s="33"/>
      <c r="E5" s="34"/>
    </row>
    <row r="6" spans="1:5" x14ac:dyDescent="0.35">
      <c r="A6" s="26"/>
      <c r="B6" s="35" t="s">
        <v>35</v>
      </c>
      <c r="C6" s="35"/>
      <c r="D6" s="35"/>
      <c r="E6" s="36"/>
    </row>
    <row r="7" spans="1:5" x14ac:dyDescent="0.35">
      <c r="A7" s="26"/>
      <c r="B7" s="33"/>
      <c r="C7" s="33"/>
      <c r="D7" s="33"/>
      <c r="E7" s="34"/>
    </row>
    <row r="8" spans="1:5" x14ac:dyDescent="0.35">
      <c r="A8" s="26"/>
      <c r="B8" s="33"/>
      <c r="C8" s="33"/>
      <c r="D8" s="33"/>
      <c r="E8" s="37" t="s">
        <v>1</v>
      </c>
    </row>
    <row r="9" spans="1:5" ht="30" customHeight="1" x14ac:dyDescent="0.35">
      <c r="A9" s="26"/>
      <c r="B9" s="38" t="s">
        <v>2</v>
      </c>
      <c r="C9" s="38" t="s">
        <v>3</v>
      </c>
      <c r="D9" s="38" t="s">
        <v>36</v>
      </c>
      <c r="E9" s="39" t="s">
        <v>37</v>
      </c>
    </row>
    <row r="10" spans="1:5" x14ac:dyDescent="0.35">
      <c r="A10" s="26"/>
      <c r="B10" s="33"/>
      <c r="C10" s="33"/>
      <c r="D10" s="33"/>
      <c r="E10" s="34"/>
    </row>
    <row r="11" spans="1:5" x14ac:dyDescent="0.35">
      <c r="A11" s="26"/>
      <c r="B11" s="50" t="s">
        <v>38</v>
      </c>
      <c r="C11" s="42">
        <v>9</v>
      </c>
      <c r="D11" s="43">
        <f>Notes!C86</f>
        <v>0</v>
      </c>
      <c r="E11" s="44">
        <f>Notes!D86</f>
        <v>0</v>
      </c>
    </row>
    <row r="12" spans="1:5" x14ac:dyDescent="0.35">
      <c r="A12" s="26"/>
      <c r="B12" s="50" t="s">
        <v>39</v>
      </c>
      <c r="C12" s="42">
        <v>10</v>
      </c>
      <c r="D12" s="43">
        <f>Notes!C91</f>
        <v>0</v>
      </c>
      <c r="E12" s="44">
        <f>Notes!D91</f>
        <v>0</v>
      </c>
    </row>
    <row r="13" spans="1:5" x14ac:dyDescent="0.35">
      <c r="A13" s="26"/>
      <c r="B13" s="51" t="s">
        <v>40</v>
      </c>
      <c r="C13" s="33"/>
      <c r="D13" s="4">
        <f>SUM(D11:D12)</f>
        <v>0</v>
      </c>
      <c r="E13" s="45">
        <f>SUM(E11:E12)</f>
        <v>0</v>
      </c>
    </row>
    <row r="14" spans="1:5" x14ac:dyDescent="0.35">
      <c r="A14" s="26"/>
      <c r="B14" s="33"/>
      <c r="C14" s="33"/>
      <c r="D14" s="33"/>
      <c r="E14" s="34"/>
    </row>
    <row r="15" spans="1:5" x14ac:dyDescent="0.35">
      <c r="A15" s="26"/>
      <c r="B15" s="51" t="s">
        <v>41</v>
      </c>
      <c r="C15" s="33"/>
      <c r="D15" s="33"/>
      <c r="E15" s="34"/>
    </row>
    <row r="16" spans="1:5" x14ac:dyDescent="0.35">
      <c r="A16" s="26"/>
      <c r="B16" s="50" t="s">
        <v>42</v>
      </c>
      <c r="C16" s="33"/>
      <c r="D16" s="43">
        <v>0</v>
      </c>
      <c r="E16" s="44">
        <v>0</v>
      </c>
    </row>
    <row r="17" spans="1:5" x14ac:dyDescent="0.35">
      <c r="A17" s="26"/>
      <c r="B17" s="50" t="s">
        <v>43</v>
      </c>
      <c r="C17" s="42">
        <v>11</v>
      </c>
      <c r="D17" s="43">
        <f>Notes!C96</f>
        <v>0</v>
      </c>
      <c r="E17" s="44">
        <f>Notes!D96</f>
        <v>0</v>
      </c>
    </row>
    <row r="18" spans="1:5" x14ac:dyDescent="0.35">
      <c r="A18" s="26"/>
      <c r="B18" s="50" t="s">
        <v>44</v>
      </c>
      <c r="C18" s="33"/>
      <c r="D18" s="43">
        <v>0</v>
      </c>
      <c r="E18" s="44">
        <v>0</v>
      </c>
    </row>
    <row r="19" spans="1:5" x14ac:dyDescent="0.35">
      <c r="A19" s="26"/>
      <c r="B19" s="50" t="s">
        <v>45</v>
      </c>
      <c r="C19" s="42">
        <v>12</v>
      </c>
      <c r="D19" s="43">
        <f>Notes!C106</f>
        <v>1877.9870000000001</v>
      </c>
      <c r="E19" s="44">
        <f>Notes!D106</f>
        <v>400</v>
      </c>
    </row>
    <row r="20" spans="1:5" x14ac:dyDescent="0.35">
      <c r="A20" s="26"/>
      <c r="B20" s="51" t="s">
        <v>46</v>
      </c>
      <c r="C20" s="33"/>
      <c r="D20" s="4">
        <f>SUM(D16:D19)</f>
        <v>1877.9870000000001</v>
      </c>
      <c r="E20" s="45">
        <f>SUM(E16:E19)</f>
        <v>400</v>
      </c>
    </row>
    <row r="21" spans="1:5" x14ac:dyDescent="0.35">
      <c r="A21" s="26"/>
      <c r="B21" s="33"/>
      <c r="C21" s="33"/>
      <c r="D21" s="33"/>
      <c r="E21" s="34"/>
    </row>
    <row r="22" spans="1:5" x14ac:dyDescent="0.35">
      <c r="A22" s="26"/>
      <c r="B22" s="51" t="s">
        <v>47</v>
      </c>
      <c r="C22" s="33"/>
      <c r="D22" s="4">
        <f>D13-D20</f>
        <v>-1877.9870000000001</v>
      </c>
      <c r="E22" s="45">
        <f>E13-E20</f>
        <v>-400</v>
      </c>
    </row>
    <row r="23" spans="1:5" x14ac:dyDescent="0.35">
      <c r="A23" s="26"/>
      <c r="B23" s="33"/>
      <c r="C23" s="33"/>
      <c r="D23" s="33"/>
      <c r="E23" s="34"/>
    </row>
    <row r="24" spans="1:5" x14ac:dyDescent="0.35">
      <c r="A24" s="26"/>
      <c r="B24" s="51" t="s">
        <v>48</v>
      </c>
      <c r="C24" s="33"/>
      <c r="D24" s="33"/>
      <c r="E24" s="34"/>
    </row>
    <row r="25" spans="1:5" x14ac:dyDescent="0.35">
      <c r="A25" s="26"/>
      <c r="B25" s="50" t="s">
        <v>49</v>
      </c>
      <c r="C25" s="33"/>
      <c r="D25" s="43">
        <v>0</v>
      </c>
      <c r="E25" s="44">
        <v>0</v>
      </c>
    </row>
    <row r="26" spans="1:5" x14ac:dyDescent="0.35">
      <c r="A26" s="26"/>
      <c r="B26" s="50" t="s">
        <v>50</v>
      </c>
      <c r="C26" s="33"/>
      <c r="D26" s="43">
        <v>0</v>
      </c>
      <c r="E26" s="44">
        <v>0</v>
      </c>
    </row>
    <row r="27" spans="1:5" x14ac:dyDescent="0.35">
      <c r="A27" s="26"/>
      <c r="B27" s="50"/>
      <c r="C27" s="33"/>
      <c r="D27" s="8">
        <f>SUM(D25:D26)</f>
        <v>0</v>
      </c>
      <c r="E27" s="61">
        <f>SUM(E25:E26)</f>
        <v>0</v>
      </c>
    </row>
    <row r="28" spans="1:5" x14ac:dyDescent="0.35">
      <c r="A28" s="26"/>
      <c r="B28" s="33"/>
      <c r="C28" s="33"/>
      <c r="D28" s="33"/>
      <c r="E28" s="34"/>
    </row>
    <row r="29" spans="1:5" ht="15" thickBot="1" x14ac:dyDescent="0.4">
      <c r="A29" s="26"/>
      <c r="B29" s="51" t="s">
        <v>51</v>
      </c>
      <c r="C29" s="33"/>
      <c r="D29" s="5">
        <f>D22-D27</f>
        <v>-1877.9870000000001</v>
      </c>
      <c r="E29" s="46">
        <f>E22-E27</f>
        <v>-400</v>
      </c>
    </row>
    <row r="30" spans="1:5" ht="15" thickTop="1" x14ac:dyDescent="0.35">
      <c r="A30" s="26"/>
      <c r="B30" s="33"/>
      <c r="C30" s="33"/>
      <c r="D30" s="33"/>
      <c r="E30" s="34"/>
    </row>
    <row r="31" spans="1:5" x14ac:dyDescent="0.35">
      <c r="A31" s="26"/>
      <c r="B31" s="51" t="s">
        <v>52</v>
      </c>
      <c r="C31" s="33"/>
      <c r="D31" s="33"/>
      <c r="E31" s="34"/>
    </row>
    <row r="32" spans="1:5" x14ac:dyDescent="0.35">
      <c r="A32" s="26"/>
      <c r="B32" s="50" t="s">
        <v>53</v>
      </c>
      <c r="C32" s="42">
        <v>13</v>
      </c>
      <c r="D32" s="62">
        <f>Notes!C120</f>
        <v>-18.78</v>
      </c>
      <c r="E32" s="63">
        <f>Notes!D120</f>
        <v>-4</v>
      </c>
    </row>
    <row r="33" spans="1:5" x14ac:dyDescent="0.35">
      <c r="A33" s="26"/>
      <c r="B33" s="50" t="s">
        <v>54</v>
      </c>
      <c r="C33" s="42">
        <v>13</v>
      </c>
      <c r="D33" s="62">
        <f>Notes!C120</f>
        <v>-18.78</v>
      </c>
      <c r="E33" s="63">
        <f>Notes!D120</f>
        <v>-4</v>
      </c>
    </row>
    <row r="34" spans="1:5" x14ac:dyDescent="0.35">
      <c r="A34" s="26"/>
      <c r="B34" s="33"/>
      <c r="C34" s="33"/>
      <c r="D34" s="33"/>
      <c r="E34" s="34"/>
    </row>
    <row r="35" spans="1:5" x14ac:dyDescent="0.35">
      <c r="A35" s="26"/>
      <c r="B35" s="50" t="s">
        <v>25</v>
      </c>
      <c r="C35" s="42" t="s">
        <v>26</v>
      </c>
      <c r="D35" s="33"/>
      <c r="E35" s="34"/>
    </row>
    <row r="36" spans="1:5" x14ac:dyDescent="0.35">
      <c r="A36" s="26"/>
      <c r="B36" s="50" t="s">
        <v>27</v>
      </c>
      <c r="C36" s="42" t="s">
        <v>28</v>
      </c>
      <c r="D36" s="33"/>
      <c r="E36" s="34"/>
    </row>
    <row r="37" spans="1:5" x14ac:dyDescent="0.35">
      <c r="A37" s="26"/>
      <c r="B37" s="47" t="s">
        <v>29</v>
      </c>
      <c r="C37" s="33"/>
      <c r="D37" s="33"/>
      <c r="E37" s="34"/>
    </row>
    <row r="38" spans="1:5" x14ac:dyDescent="0.35">
      <c r="A38" s="26"/>
      <c r="B38" s="33"/>
      <c r="C38" s="33"/>
      <c r="D38" s="33"/>
      <c r="E38" s="34"/>
    </row>
    <row r="39" spans="1:5" x14ac:dyDescent="0.35">
      <c r="A39" s="26"/>
      <c r="B39" s="50" t="s">
        <v>30</v>
      </c>
      <c r="C39" s="33"/>
      <c r="D39" s="33"/>
      <c r="E39" s="34"/>
    </row>
    <row r="40" spans="1:5" x14ac:dyDescent="0.35">
      <c r="A40" s="26"/>
      <c r="B40" s="33"/>
      <c r="C40" s="33"/>
      <c r="D40" s="33"/>
      <c r="E40" s="34"/>
    </row>
    <row r="41" spans="1:5" x14ac:dyDescent="0.35">
      <c r="A41" s="26"/>
      <c r="B41" s="50" t="s">
        <v>31</v>
      </c>
      <c r="C41" s="33"/>
      <c r="D41" s="50" t="s">
        <v>32</v>
      </c>
      <c r="E41" s="34"/>
    </row>
    <row r="42" spans="1:5" x14ac:dyDescent="0.35">
      <c r="A42" s="26"/>
      <c r="B42" s="51" t="str">
        <f>Inputs!$B$8</f>
        <v>G R B &amp; CO</v>
      </c>
      <c r="C42" s="33"/>
      <c r="D42" s="33"/>
      <c r="E42" s="34"/>
    </row>
    <row r="43" spans="1:5" x14ac:dyDescent="0.35">
      <c r="A43" s="26"/>
      <c r="B43" s="50" t="s">
        <v>33</v>
      </c>
      <c r="C43" s="33"/>
      <c r="D43" s="33"/>
      <c r="E43" s="34"/>
    </row>
    <row r="44" spans="1:5" x14ac:dyDescent="0.35">
      <c r="A44" s="26"/>
      <c r="B44" s="50" t="str">
        <f>"FRN No. "&amp;Inputs!$B$9</f>
        <v>FRN No. 040755N</v>
      </c>
      <c r="C44" s="33"/>
      <c r="D44" s="33"/>
      <c r="E44" s="34"/>
    </row>
    <row r="45" spans="1:5" x14ac:dyDescent="0.35">
      <c r="A45" s="26"/>
      <c r="B45" s="33"/>
      <c r="C45" s="33"/>
      <c r="D45" s="33"/>
      <c r="E45" s="34"/>
    </row>
    <row r="46" spans="1:5" x14ac:dyDescent="0.35">
      <c r="A46" s="26"/>
      <c r="B46" s="33"/>
      <c r="C46" s="33"/>
      <c r="D46" s="33"/>
      <c r="E46" s="34"/>
    </row>
    <row r="47" spans="1:5" x14ac:dyDescent="0.35">
      <c r="A47" s="26"/>
      <c r="B47" s="33"/>
      <c r="C47" s="33"/>
      <c r="D47" s="33"/>
      <c r="E47" s="34"/>
    </row>
    <row r="48" spans="1:5" x14ac:dyDescent="0.35">
      <c r="A48" s="26"/>
      <c r="B48" s="33"/>
      <c r="C48" s="33"/>
      <c r="D48" s="33"/>
      <c r="E48" s="34"/>
    </row>
    <row r="49" spans="1:5" x14ac:dyDescent="0.35">
      <c r="A49" s="26"/>
      <c r="B49" s="33"/>
      <c r="C49" s="33"/>
      <c r="D49" s="33"/>
      <c r="E49" s="34"/>
    </row>
    <row r="50" spans="1:5" x14ac:dyDescent="0.35">
      <c r="A50" s="26"/>
      <c r="B50" s="33"/>
      <c r="C50" s="33"/>
      <c r="D50" s="33"/>
      <c r="E50" s="34"/>
    </row>
    <row r="51" spans="1:5" x14ac:dyDescent="0.35">
      <c r="A51" s="26"/>
      <c r="B51" s="51" t="str">
        <f>Inputs!$B$10</f>
        <v>Roopali Garg</v>
      </c>
      <c r="C51" s="33"/>
      <c r="D51" s="51" t="str">
        <f>Inputs!$B$13</f>
        <v>MANSHU NARANG</v>
      </c>
      <c r="E51" s="52" t="str">
        <f>Inputs!$B$15</f>
        <v>LOKESH NARANG</v>
      </c>
    </row>
    <row r="52" spans="1:5" x14ac:dyDescent="0.35">
      <c r="A52" s="26"/>
      <c r="B52" s="50" t="str">
        <f>"Proprietor  M.No. "&amp;Inputs!$B$11</f>
        <v>Proprietor  M.No. 570376</v>
      </c>
      <c r="C52" s="33"/>
      <c r="D52" s="50" t="s">
        <v>34</v>
      </c>
      <c r="E52" s="53" t="s">
        <v>34</v>
      </c>
    </row>
    <row r="53" spans="1:5" x14ac:dyDescent="0.35">
      <c r="A53" s="26"/>
      <c r="B53" s="50" t="str">
        <f>"UDIN: "&amp;Inputs!$B$12</f>
        <v xml:space="preserve">UDIN: </v>
      </c>
      <c r="C53" s="33"/>
      <c r="D53" s="50" t="str">
        <f>"DIN: "&amp;Inputs!$B$14</f>
        <v>DIN: 10368816</v>
      </c>
      <c r="E53" s="53" t="str">
        <f>"DIN: "&amp;Inputs!$B$16</f>
        <v>DIN: 10368815</v>
      </c>
    </row>
    <row r="54" spans="1:5" x14ac:dyDescent="0.35">
      <c r="A54" s="26"/>
      <c r="B54" s="50" t="str">
        <f>"Place : "&amp;Inputs!$B$17</f>
        <v>Place : New Delhi</v>
      </c>
      <c r="C54" s="33"/>
      <c r="D54" s="33"/>
      <c r="E54" s="34"/>
    </row>
    <row r="55" spans="1:5" ht="15" thickBot="1" x14ac:dyDescent="0.4">
      <c r="A55" s="54"/>
      <c r="B55" s="55" t="str">
        <f>"Date  : "&amp;Inputs!$B$18</f>
        <v>Date  : 15th Sep, 2026</v>
      </c>
      <c r="C55" s="56"/>
      <c r="D55" s="56"/>
      <c r="E55" s="57"/>
    </row>
  </sheetData>
  <mergeCells count="4">
    <mergeCell ref="B2:E2"/>
    <mergeCell ref="B3:E3"/>
    <mergeCell ref="B4:E4"/>
    <mergeCell ref="B6:E6"/>
  </mergeCells>
  <pageMargins left="0.75" right="0.75" top="1" bottom="1" header="0.511811023622047" footer="0.511811023622047"/>
  <pageSetup paperSize="9" scale="72" fitToHeight="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9"/>
  <sheetViews>
    <sheetView showGridLines="0" view="pageBreakPreview" topLeftCell="A8" zoomScale="80" zoomScaleNormal="110" zoomScaleSheetLayoutView="80" workbookViewId="0">
      <selection activeCell="C8" sqref="C8"/>
    </sheetView>
  </sheetViews>
  <sheetFormatPr defaultColWidth="8.6328125" defaultRowHeight="14.5" x14ac:dyDescent="0.35"/>
  <cols>
    <col min="1" max="1" width="3" customWidth="1"/>
    <col min="2" max="2" width="6" customWidth="1"/>
    <col min="3" max="3" width="66" customWidth="1"/>
    <col min="4" max="5" width="20" customWidth="1"/>
    <col min="7" max="7" width="32" customWidth="1"/>
    <col min="8" max="8" width="12" customWidth="1"/>
  </cols>
  <sheetData>
    <row r="1" spans="1:10" x14ac:dyDescent="0.35">
      <c r="A1" s="23"/>
      <c r="B1" s="24"/>
      <c r="C1" s="24"/>
      <c r="D1" s="24"/>
      <c r="E1" s="24"/>
      <c r="F1" s="25"/>
      <c r="G1" s="24"/>
      <c r="H1" s="24"/>
      <c r="I1" s="24"/>
      <c r="J1" s="25"/>
    </row>
    <row r="2" spans="1:10" ht="15.5" x14ac:dyDescent="0.35">
      <c r="A2" s="26"/>
      <c r="B2" s="27" t="str">
        <f>Inputs!$B$4</f>
        <v>HEMRAJ NARANG AND SONS PRIVATE LIMITED</v>
      </c>
      <c r="C2" s="27"/>
      <c r="D2" s="27"/>
      <c r="E2" s="27"/>
      <c r="F2" s="34"/>
      <c r="G2" s="33"/>
      <c r="H2" s="33"/>
      <c r="I2" s="33"/>
      <c r="J2" s="34"/>
    </row>
    <row r="3" spans="1:10" ht="25.5" customHeight="1" x14ac:dyDescent="0.35">
      <c r="A3" s="26"/>
      <c r="B3" s="29" t="str">
        <f>Inputs!$B$5</f>
        <v>B-49, Central Market, Mad, Dr. Ambedkar Nagar, Dr. Ambedkar Nagar (South Delhi), New Delhi, South Delhi- 110062, Delhi</v>
      </c>
      <c r="C3" s="29"/>
      <c r="D3" s="29"/>
      <c r="E3" s="29"/>
      <c r="F3" s="34"/>
      <c r="G3" s="33"/>
      <c r="H3" s="33"/>
      <c r="I3" s="33"/>
      <c r="J3" s="34"/>
    </row>
    <row r="4" spans="1:10" x14ac:dyDescent="0.35">
      <c r="A4" s="26"/>
      <c r="B4" s="31" t="str">
        <f>"Corporate Identity Number: "&amp;Inputs!$B$6</f>
        <v>Corporate Identity Number: U56102DL2023PTC421829</v>
      </c>
      <c r="C4" s="31"/>
      <c r="D4" s="31"/>
      <c r="E4" s="31"/>
      <c r="F4" s="34"/>
      <c r="G4" s="33"/>
      <c r="H4" s="33"/>
      <c r="I4" s="33"/>
      <c r="J4" s="34"/>
    </row>
    <row r="5" spans="1:10" x14ac:dyDescent="0.35">
      <c r="A5" s="26"/>
      <c r="B5" s="33"/>
      <c r="C5" s="33"/>
      <c r="D5" s="33"/>
      <c r="E5" s="33"/>
      <c r="F5" s="34"/>
      <c r="G5" s="33"/>
      <c r="H5" s="33"/>
      <c r="I5" s="33"/>
      <c r="J5" s="34"/>
    </row>
    <row r="6" spans="1:10" x14ac:dyDescent="0.35">
      <c r="A6" s="26"/>
      <c r="B6" s="35" t="s">
        <v>55</v>
      </c>
      <c r="C6" s="35"/>
      <c r="D6" s="35"/>
      <c r="E6" s="35"/>
      <c r="F6" s="34"/>
      <c r="G6" s="33"/>
      <c r="H6" s="33"/>
      <c r="I6" s="33"/>
      <c r="J6" s="34"/>
    </row>
    <row r="7" spans="1:10" x14ac:dyDescent="0.35">
      <c r="A7" s="26"/>
      <c r="B7" s="33"/>
      <c r="C7" s="33"/>
      <c r="D7" s="33"/>
      <c r="E7" s="33"/>
      <c r="F7" s="34"/>
      <c r="G7" s="33"/>
      <c r="H7" s="33"/>
      <c r="I7" s="33"/>
      <c r="J7" s="34"/>
    </row>
    <row r="8" spans="1:10" x14ac:dyDescent="0.35">
      <c r="A8" s="26"/>
      <c r="B8" s="33"/>
      <c r="C8" s="33"/>
      <c r="D8" s="33"/>
      <c r="E8" s="47" t="s">
        <v>1</v>
      </c>
      <c r="F8" s="34"/>
      <c r="G8" s="33"/>
      <c r="H8" s="33"/>
      <c r="I8" s="33"/>
      <c r="J8" s="34"/>
    </row>
    <row r="9" spans="1:10" ht="30" customHeight="1" x14ac:dyDescent="0.35">
      <c r="A9" s="26"/>
      <c r="B9" s="33"/>
      <c r="C9" s="38" t="s">
        <v>2</v>
      </c>
      <c r="D9" s="38" t="s">
        <v>36</v>
      </c>
      <c r="E9" s="38" t="s">
        <v>37</v>
      </c>
      <c r="F9" s="34"/>
      <c r="G9" s="51" t="s">
        <v>56</v>
      </c>
      <c r="H9" s="33"/>
      <c r="I9" s="33"/>
      <c r="J9" s="34"/>
    </row>
    <row r="10" spans="1:10" x14ac:dyDescent="0.35">
      <c r="A10" s="26"/>
      <c r="B10" s="33"/>
      <c r="C10" s="33"/>
      <c r="D10" s="33"/>
      <c r="E10" s="33"/>
      <c r="F10" s="34"/>
      <c r="G10" s="50" t="s">
        <v>57</v>
      </c>
      <c r="H10" s="64">
        <v>200</v>
      </c>
      <c r="I10" s="33"/>
      <c r="J10" s="34"/>
    </row>
    <row r="11" spans="1:10" x14ac:dyDescent="0.35">
      <c r="A11" s="26"/>
      <c r="B11" s="51" t="s">
        <v>58</v>
      </c>
      <c r="C11" s="40" t="s">
        <v>59</v>
      </c>
      <c r="D11" s="33"/>
      <c r="E11" s="33"/>
      <c r="F11" s="34"/>
      <c r="G11" s="50" t="s">
        <v>60</v>
      </c>
      <c r="H11" s="64">
        <v>200</v>
      </c>
      <c r="I11" s="33"/>
      <c r="J11" s="34"/>
    </row>
    <row r="12" spans="1:10" x14ac:dyDescent="0.35">
      <c r="A12" s="26"/>
      <c r="B12" s="33"/>
      <c r="C12" s="41" t="s">
        <v>61</v>
      </c>
      <c r="D12" s="43">
        <f>'Profit and Loss'!D22</f>
        <v>-1877.9870000000001</v>
      </c>
      <c r="E12" s="43">
        <f>'Profit and Loss'!E22</f>
        <v>-400</v>
      </c>
      <c r="F12" s="34"/>
      <c r="G12" s="50" t="s">
        <v>62</v>
      </c>
      <c r="H12" s="64">
        <v>0</v>
      </c>
      <c r="I12" s="33"/>
      <c r="J12" s="34"/>
    </row>
    <row r="13" spans="1:10" x14ac:dyDescent="0.35">
      <c r="A13" s="26"/>
      <c r="B13" s="33"/>
      <c r="C13" s="41" t="s">
        <v>63</v>
      </c>
      <c r="D13" s="43">
        <f>'Profit and Loss'!D18+'Profit and Loss'!D17</f>
        <v>0</v>
      </c>
      <c r="E13" s="43">
        <f>'Profit and Loss'!E18+'Profit and Loss'!E17</f>
        <v>0</v>
      </c>
      <c r="F13" s="34"/>
      <c r="G13" s="33"/>
      <c r="H13" s="33"/>
      <c r="I13" s="33"/>
      <c r="J13" s="34"/>
    </row>
    <row r="14" spans="1:10" x14ac:dyDescent="0.35">
      <c r="A14" s="26"/>
      <c r="B14" s="33"/>
      <c r="C14" s="40" t="s">
        <v>64</v>
      </c>
      <c r="D14" s="4">
        <f>D12+D13</f>
        <v>-1877.9870000000001</v>
      </c>
      <c r="E14" s="4">
        <f>E12+E13</f>
        <v>-400</v>
      </c>
      <c r="F14" s="34"/>
      <c r="G14" s="33"/>
      <c r="H14" s="33"/>
      <c r="I14" s="33"/>
      <c r="J14" s="34"/>
    </row>
    <row r="15" spans="1:10" x14ac:dyDescent="0.35">
      <c r="A15" s="26"/>
      <c r="B15" s="33"/>
      <c r="C15" s="65" t="s">
        <v>65</v>
      </c>
      <c r="D15" s="33"/>
      <c r="E15" s="33"/>
      <c r="F15" s="34"/>
      <c r="G15" s="33"/>
      <c r="H15" s="33"/>
      <c r="I15" s="33"/>
      <c r="J15" s="34"/>
    </row>
    <row r="16" spans="1:10" ht="27.5" x14ac:dyDescent="0.35">
      <c r="A16" s="26"/>
      <c r="B16" s="33"/>
      <c r="C16" s="41" t="s">
        <v>66</v>
      </c>
      <c r="D16" s="43">
        <f>'Balance Sheet'!E29-'Balance Sheet'!D29</f>
        <v>-4800</v>
      </c>
      <c r="E16" s="43">
        <f>H12-'Balance Sheet'!E29</f>
        <v>0</v>
      </c>
      <c r="F16" s="34"/>
      <c r="G16" s="33"/>
      <c r="H16" s="33"/>
      <c r="I16" s="33"/>
      <c r="J16" s="34"/>
    </row>
    <row r="17" spans="1:10" x14ac:dyDescent="0.35">
      <c r="A17" s="26"/>
      <c r="B17" s="33"/>
      <c r="C17" s="41" t="s">
        <v>67</v>
      </c>
      <c r="D17" s="43">
        <v>0</v>
      </c>
      <c r="E17" s="43">
        <f>H10-0</f>
        <v>200</v>
      </c>
      <c r="F17" s="34"/>
      <c r="G17" s="33"/>
      <c r="H17" s="33"/>
      <c r="I17" s="33"/>
      <c r="J17" s="34"/>
    </row>
    <row r="18" spans="1:10" x14ac:dyDescent="0.35">
      <c r="A18" s="26"/>
      <c r="B18" s="33"/>
      <c r="C18" s="41" t="s">
        <v>68</v>
      </c>
      <c r="D18" s="43">
        <f>('Balance Sheet'!D20+'Balance Sheet'!D21+'Balance Sheet'!D22)-('Balance Sheet'!E20+'Balance Sheet'!E21+'Balance Sheet'!E22)</f>
        <v>750</v>
      </c>
      <c r="E18" s="43">
        <f>('Balance Sheet'!E20+'Balance Sheet'!E21+'Balance Sheet'!E22)-H11</f>
        <v>200</v>
      </c>
      <c r="F18" s="34"/>
      <c r="G18" s="33"/>
      <c r="H18" s="33"/>
      <c r="I18" s="33"/>
      <c r="J18" s="34"/>
    </row>
    <row r="19" spans="1:10" x14ac:dyDescent="0.35">
      <c r="A19" s="26"/>
      <c r="B19" s="33"/>
      <c r="C19" s="40" t="s">
        <v>69</v>
      </c>
      <c r="D19" s="4">
        <f>SUM(D14,D16:D18)</f>
        <v>-5927.9870000000001</v>
      </c>
      <c r="E19" s="4">
        <f>SUM(E14,E16:E18)</f>
        <v>0</v>
      </c>
      <c r="F19" s="34"/>
      <c r="G19" s="33"/>
      <c r="H19" s="33"/>
      <c r="I19" s="33"/>
      <c r="J19" s="34"/>
    </row>
    <row r="20" spans="1:10" x14ac:dyDescent="0.35">
      <c r="A20" s="26"/>
      <c r="B20" s="33"/>
      <c r="C20" s="41" t="s">
        <v>70</v>
      </c>
      <c r="D20" s="43">
        <v>0</v>
      </c>
      <c r="E20" s="43">
        <v>0</v>
      </c>
      <c r="F20" s="34"/>
      <c r="G20" s="33"/>
      <c r="H20" s="33"/>
      <c r="I20" s="33"/>
      <c r="J20" s="34"/>
    </row>
    <row r="21" spans="1:10" x14ac:dyDescent="0.35">
      <c r="A21" s="26"/>
      <c r="B21" s="33"/>
      <c r="C21" s="40" t="s">
        <v>71</v>
      </c>
      <c r="D21" s="4">
        <f>D19+D20</f>
        <v>-5927.9870000000001</v>
      </c>
      <c r="E21" s="4">
        <f>E19+E20</f>
        <v>0</v>
      </c>
      <c r="F21" s="34"/>
      <c r="G21" s="33"/>
      <c r="H21" s="33"/>
      <c r="I21" s="33"/>
      <c r="J21" s="34"/>
    </row>
    <row r="22" spans="1:10" x14ac:dyDescent="0.35">
      <c r="A22" s="26"/>
      <c r="B22" s="33"/>
      <c r="C22" s="33"/>
      <c r="D22" s="33"/>
      <c r="E22" s="33"/>
      <c r="F22" s="34"/>
      <c r="G22" s="33"/>
      <c r="H22" s="33"/>
      <c r="I22" s="33"/>
      <c r="J22" s="34"/>
    </row>
    <row r="23" spans="1:10" x14ac:dyDescent="0.35">
      <c r="A23" s="26"/>
      <c r="B23" s="51" t="s">
        <v>72</v>
      </c>
      <c r="C23" s="40" t="s">
        <v>73</v>
      </c>
      <c r="D23" s="33"/>
      <c r="E23" s="33"/>
      <c r="F23" s="34"/>
      <c r="G23" s="33"/>
      <c r="H23" s="33"/>
      <c r="I23" s="33"/>
      <c r="J23" s="34"/>
    </row>
    <row r="24" spans="1:10" x14ac:dyDescent="0.35">
      <c r="A24" s="26"/>
      <c r="B24" s="33"/>
      <c r="C24" s="40" t="s">
        <v>74</v>
      </c>
      <c r="D24" s="4">
        <v>0</v>
      </c>
      <c r="E24" s="4">
        <v>0</v>
      </c>
      <c r="F24" s="34"/>
      <c r="G24" s="33"/>
      <c r="H24" s="33"/>
      <c r="I24" s="33"/>
      <c r="J24" s="34"/>
    </row>
    <row r="25" spans="1:10" x14ac:dyDescent="0.35">
      <c r="A25" s="26"/>
      <c r="B25" s="33"/>
      <c r="C25" s="33"/>
      <c r="D25" s="33"/>
      <c r="E25" s="33"/>
      <c r="F25" s="34"/>
      <c r="G25" s="33"/>
      <c r="H25" s="33"/>
      <c r="I25" s="33"/>
      <c r="J25" s="34"/>
    </row>
    <row r="26" spans="1:10" x14ac:dyDescent="0.35">
      <c r="A26" s="26"/>
      <c r="B26" s="51" t="s">
        <v>75</v>
      </c>
      <c r="C26" s="40" t="s">
        <v>76</v>
      </c>
      <c r="D26" s="33"/>
      <c r="E26" s="33"/>
      <c r="F26" s="34"/>
      <c r="G26" s="33"/>
      <c r="H26" s="33"/>
      <c r="I26" s="33"/>
      <c r="J26" s="34"/>
    </row>
    <row r="27" spans="1:10" x14ac:dyDescent="0.35">
      <c r="A27" s="26"/>
      <c r="B27" s="33"/>
      <c r="C27" s="41" t="s">
        <v>77</v>
      </c>
      <c r="D27" s="43">
        <f>'Balance Sheet'!D12-'Balance Sheet'!E12</f>
        <v>0</v>
      </c>
      <c r="E27" s="43">
        <v>0</v>
      </c>
      <c r="F27" s="34"/>
      <c r="G27" s="33"/>
      <c r="H27" s="33"/>
      <c r="I27" s="33"/>
      <c r="J27" s="34"/>
    </row>
    <row r="28" spans="1:10" x14ac:dyDescent="0.35">
      <c r="A28" s="26"/>
      <c r="B28" s="33"/>
      <c r="C28" s="41" t="s">
        <v>78</v>
      </c>
      <c r="D28" s="43">
        <f>'Balance Sheet'!D16-'Balance Sheet'!E16</f>
        <v>6000</v>
      </c>
      <c r="E28" s="43">
        <v>0</v>
      </c>
      <c r="F28" s="34"/>
      <c r="G28" s="33"/>
      <c r="H28" s="33"/>
      <c r="I28" s="33"/>
      <c r="J28" s="34"/>
    </row>
    <row r="29" spans="1:10" x14ac:dyDescent="0.35">
      <c r="A29" s="26"/>
      <c r="B29" s="33"/>
      <c r="C29" s="40" t="s">
        <v>79</v>
      </c>
      <c r="D29" s="4">
        <f>D27+D28</f>
        <v>6000</v>
      </c>
      <c r="E29" s="4">
        <f>E27+E28</f>
        <v>0</v>
      </c>
      <c r="F29" s="34"/>
      <c r="G29" s="33"/>
      <c r="H29" s="33"/>
      <c r="I29" s="33"/>
      <c r="J29" s="34"/>
    </row>
    <row r="30" spans="1:10" x14ac:dyDescent="0.35">
      <c r="A30" s="26"/>
      <c r="B30" s="33"/>
      <c r="C30" s="33"/>
      <c r="D30" s="33"/>
      <c r="E30" s="33"/>
      <c r="F30" s="34"/>
      <c r="G30" s="33"/>
      <c r="H30" s="33"/>
      <c r="I30" s="33"/>
      <c r="J30" s="34"/>
    </row>
    <row r="31" spans="1:10" ht="27.5" x14ac:dyDescent="0.35">
      <c r="A31" s="26"/>
      <c r="B31" s="33"/>
      <c r="C31" s="40" t="s">
        <v>80</v>
      </c>
      <c r="D31" s="4">
        <f>D21+D24+D29</f>
        <v>72.01299999999992</v>
      </c>
      <c r="E31" s="4">
        <f>E21+E24+E29</f>
        <v>0</v>
      </c>
      <c r="F31" s="34"/>
      <c r="G31" s="33"/>
      <c r="H31" s="33"/>
      <c r="I31" s="33"/>
      <c r="J31" s="34"/>
    </row>
    <row r="32" spans="1:10" x14ac:dyDescent="0.35">
      <c r="A32" s="26"/>
      <c r="B32" s="33"/>
      <c r="C32" s="41" t="s">
        <v>81</v>
      </c>
      <c r="D32" s="43">
        <f>'Balance Sheet'!E32</f>
        <v>500</v>
      </c>
      <c r="E32" s="64">
        <v>500</v>
      </c>
      <c r="F32" s="34"/>
      <c r="G32" s="33"/>
      <c r="H32" s="33"/>
      <c r="I32" s="33"/>
      <c r="J32" s="34"/>
    </row>
    <row r="33" spans="1:10" x14ac:dyDescent="0.35">
      <c r="A33" s="26"/>
      <c r="B33" s="33"/>
      <c r="C33" s="40" t="s">
        <v>82</v>
      </c>
      <c r="D33" s="4">
        <f>D31+D32</f>
        <v>572.01299999999992</v>
      </c>
      <c r="E33" s="4">
        <f>E31+E32</f>
        <v>500</v>
      </c>
      <c r="F33" s="34"/>
      <c r="G33" s="33"/>
      <c r="H33" s="33"/>
      <c r="I33" s="33"/>
      <c r="J33" s="34"/>
    </row>
    <row r="34" spans="1:10" x14ac:dyDescent="0.35">
      <c r="A34" s="26"/>
      <c r="B34" s="33"/>
      <c r="C34" s="65" t="s">
        <v>83</v>
      </c>
      <c r="D34" s="48">
        <f>ROUND(D33-'Balance Sheet'!D32,2)</f>
        <v>0</v>
      </c>
      <c r="E34" s="48">
        <f>ROUND(E33-'Balance Sheet'!E32,2)</f>
        <v>0</v>
      </c>
      <c r="F34" s="34"/>
      <c r="G34" s="33"/>
      <c r="H34" s="33"/>
      <c r="I34" s="33"/>
      <c r="J34" s="34"/>
    </row>
    <row r="35" spans="1:10" x14ac:dyDescent="0.35">
      <c r="A35" s="26"/>
      <c r="B35" s="33"/>
      <c r="C35" s="33"/>
      <c r="D35" s="33"/>
      <c r="E35" s="33"/>
      <c r="F35" s="34"/>
      <c r="G35" s="33"/>
      <c r="H35" s="33"/>
      <c r="I35" s="33"/>
      <c r="J35" s="34"/>
    </row>
    <row r="36" spans="1:10" x14ac:dyDescent="0.35">
      <c r="A36" s="26"/>
      <c r="B36" s="33"/>
      <c r="C36" s="40" t="s">
        <v>84</v>
      </c>
      <c r="D36" s="33"/>
      <c r="E36" s="33"/>
      <c r="F36" s="34"/>
      <c r="G36" s="33"/>
      <c r="H36" s="33"/>
      <c r="I36" s="33"/>
      <c r="J36" s="34"/>
    </row>
    <row r="37" spans="1:10" x14ac:dyDescent="0.35">
      <c r="A37" s="26"/>
      <c r="B37" s="33"/>
      <c r="C37" s="41" t="s">
        <v>85</v>
      </c>
      <c r="D37" s="43">
        <f>Notes!C79</f>
        <v>72.013000000000005</v>
      </c>
      <c r="E37" s="43">
        <f>Notes!D79</f>
        <v>0</v>
      </c>
      <c r="F37" s="34"/>
      <c r="G37" s="33"/>
      <c r="H37" s="33"/>
      <c r="I37" s="33"/>
      <c r="J37" s="34"/>
    </row>
    <row r="38" spans="1:10" x14ac:dyDescent="0.35">
      <c r="A38" s="26"/>
      <c r="B38" s="33"/>
      <c r="C38" s="41" t="s">
        <v>86</v>
      </c>
      <c r="D38" s="43">
        <f>Notes!C80</f>
        <v>500</v>
      </c>
      <c r="E38" s="43">
        <f>Notes!D80</f>
        <v>500</v>
      </c>
      <c r="F38" s="34"/>
      <c r="G38" s="33"/>
      <c r="H38" s="33"/>
      <c r="I38" s="33"/>
      <c r="J38" s="34"/>
    </row>
    <row r="39" spans="1:10" x14ac:dyDescent="0.35">
      <c r="A39" s="26"/>
      <c r="B39" s="33"/>
      <c r="C39" s="40" t="s">
        <v>87</v>
      </c>
      <c r="D39" s="4">
        <f>D37+D38</f>
        <v>572.01300000000003</v>
      </c>
      <c r="E39" s="4">
        <f>E37+E38</f>
        <v>500</v>
      </c>
      <c r="F39" s="34"/>
      <c r="G39" s="33"/>
      <c r="H39" s="33"/>
      <c r="I39" s="33"/>
      <c r="J39" s="34"/>
    </row>
    <row r="40" spans="1:10" x14ac:dyDescent="0.35">
      <c r="A40" s="26"/>
      <c r="B40" s="33"/>
      <c r="C40" s="33"/>
      <c r="D40" s="33"/>
      <c r="E40" s="33"/>
      <c r="F40" s="34"/>
      <c r="G40" s="33"/>
      <c r="H40" s="33"/>
      <c r="I40" s="33"/>
      <c r="J40" s="34"/>
    </row>
    <row r="41" spans="1:10" ht="39.75" customHeight="1" x14ac:dyDescent="0.35">
      <c r="A41" s="26"/>
      <c r="B41" s="33"/>
      <c r="C41" s="66" t="s">
        <v>88</v>
      </c>
      <c r="D41" s="66"/>
      <c r="E41" s="66"/>
      <c r="F41" s="34"/>
      <c r="G41" s="33"/>
      <c r="H41" s="33"/>
      <c r="I41" s="33"/>
      <c r="J41" s="34"/>
    </row>
    <row r="42" spans="1:10" x14ac:dyDescent="0.35">
      <c r="A42" s="26"/>
      <c r="B42" s="33"/>
      <c r="C42" s="33"/>
      <c r="D42" s="33"/>
      <c r="E42" s="33"/>
      <c r="F42" s="34"/>
      <c r="G42" s="33"/>
      <c r="H42" s="33"/>
      <c r="I42" s="33"/>
      <c r="J42" s="34"/>
    </row>
    <row r="43" spans="1:10" x14ac:dyDescent="0.35">
      <c r="A43" s="26"/>
      <c r="B43" s="33"/>
      <c r="C43" s="50" t="s">
        <v>30</v>
      </c>
      <c r="D43" s="33"/>
      <c r="E43" s="33"/>
      <c r="F43" s="34"/>
      <c r="G43" s="33"/>
      <c r="H43" s="33"/>
      <c r="I43" s="33"/>
      <c r="J43" s="34"/>
    </row>
    <row r="44" spans="1:10" x14ac:dyDescent="0.35">
      <c r="A44" s="26"/>
      <c r="B44" s="33"/>
      <c r="C44" s="33"/>
      <c r="D44" s="33"/>
      <c r="E44" s="33"/>
      <c r="F44" s="34"/>
      <c r="G44" s="33"/>
      <c r="H44" s="33"/>
      <c r="I44" s="33"/>
      <c r="J44" s="34"/>
    </row>
    <row r="45" spans="1:10" x14ac:dyDescent="0.35">
      <c r="A45" s="26"/>
      <c r="B45" s="33"/>
      <c r="C45" s="50" t="s">
        <v>31</v>
      </c>
      <c r="D45" s="50" t="s">
        <v>32</v>
      </c>
      <c r="E45" s="33"/>
      <c r="F45" s="34"/>
      <c r="G45" s="33"/>
      <c r="H45" s="33"/>
      <c r="I45" s="33"/>
      <c r="J45" s="34"/>
    </row>
    <row r="46" spans="1:10" x14ac:dyDescent="0.35">
      <c r="A46" s="26"/>
      <c r="B46" s="33"/>
      <c r="C46" s="51" t="str">
        <f>Inputs!$B$8</f>
        <v>G R B &amp; CO</v>
      </c>
      <c r="D46" s="33"/>
      <c r="E46" s="33"/>
      <c r="F46" s="34"/>
      <c r="G46" s="33"/>
      <c r="H46" s="33"/>
      <c r="I46" s="33"/>
      <c r="J46" s="34"/>
    </row>
    <row r="47" spans="1:10" x14ac:dyDescent="0.35">
      <c r="A47" s="26"/>
      <c r="B47" s="33"/>
      <c r="C47" s="50" t="s">
        <v>33</v>
      </c>
      <c r="D47" s="33"/>
      <c r="E47" s="33"/>
      <c r="F47" s="34"/>
      <c r="G47" s="33"/>
      <c r="H47" s="33"/>
      <c r="I47" s="33"/>
      <c r="J47" s="34"/>
    </row>
    <row r="48" spans="1:10" x14ac:dyDescent="0.35">
      <c r="A48" s="26"/>
      <c r="B48" s="33"/>
      <c r="C48" s="50" t="str">
        <f>"FRN No. "&amp;Inputs!$B$9</f>
        <v>FRN No. 040755N</v>
      </c>
      <c r="D48" s="33"/>
      <c r="E48" s="33"/>
      <c r="F48" s="34"/>
      <c r="G48" s="33"/>
      <c r="H48" s="33"/>
      <c r="I48" s="33"/>
      <c r="J48" s="34"/>
    </row>
    <row r="49" spans="1:10" x14ac:dyDescent="0.35">
      <c r="A49" s="26"/>
      <c r="B49" s="33"/>
      <c r="C49" s="33"/>
      <c r="D49" s="33"/>
      <c r="E49" s="33"/>
      <c r="F49" s="34"/>
      <c r="G49" s="33"/>
      <c r="H49" s="33"/>
      <c r="I49" s="33"/>
      <c r="J49" s="34"/>
    </row>
    <row r="50" spans="1:10" x14ac:dyDescent="0.35">
      <c r="A50" s="26"/>
      <c r="B50" s="33"/>
      <c r="C50" s="33"/>
      <c r="D50" s="33"/>
      <c r="E50" s="33"/>
      <c r="F50" s="34"/>
      <c r="G50" s="33"/>
      <c r="H50" s="33"/>
      <c r="I50" s="33"/>
      <c r="J50" s="34"/>
    </row>
    <row r="51" spans="1:10" x14ac:dyDescent="0.35">
      <c r="A51" s="26"/>
      <c r="B51" s="33"/>
      <c r="C51" s="33"/>
      <c r="D51" s="33"/>
      <c r="E51" s="33"/>
      <c r="F51" s="34"/>
      <c r="G51" s="33"/>
      <c r="H51" s="33"/>
      <c r="I51" s="33"/>
      <c r="J51" s="34"/>
    </row>
    <row r="52" spans="1:10" x14ac:dyDescent="0.35">
      <c r="A52" s="26"/>
      <c r="B52" s="33"/>
      <c r="C52" s="33"/>
      <c r="D52" s="33"/>
      <c r="E52" s="33"/>
      <c r="F52" s="34"/>
      <c r="G52" s="33"/>
      <c r="H52" s="33"/>
      <c r="I52" s="33"/>
      <c r="J52" s="34"/>
    </row>
    <row r="53" spans="1:10" x14ac:dyDescent="0.35">
      <c r="A53" s="26"/>
      <c r="B53" s="33"/>
      <c r="C53" s="33"/>
      <c r="D53" s="33"/>
      <c r="E53" s="33"/>
      <c r="F53" s="34"/>
      <c r="G53" s="33"/>
      <c r="H53" s="33"/>
      <c r="I53" s="33"/>
      <c r="J53" s="34"/>
    </row>
    <row r="54" spans="1:10" x14ac:dyDescent="0.35">
      <c r="A54" s="26"/>
      <c r="B54" s="33"/>
      <c r="C54" s="33"/>
      <c r="D54" s="33"/>
      <c r="E54" s="33"/>
      <c r="F54" s="34"/>
      <c r="G54" s="33"/>
      <c r="H54" s="33"/>
      <c r="I54" s="33"/>
      <c r="J54" s="34"/>
    </row>
    <row r="55" spans="1:10" x14ac:dyDescent="0.35">
      <c r="A55" s="26"/>
      <c r="B55" s="33"/>
      <c r="C55" s="51" t="str">
        <f>Inputs!$B$10</f>
        <v>Roopali Garg</v>
      </c>
      <c r="D55" s="51" t="str">
        <f>Inputs!$B$13</f>
        <v>MANSHU NARANG</v>
      </c>
      <c r="E55" s="51" t="str">
        <f>Inputs!$B$15</f>
        <v>LOKESH NARANG</v>
      </c>
      <c r="F55" s="34"/>
      <c r="G55" s="33"/>
      <c r="H55" s="33"/>
      <c r="I55" s="33"/>
      <c r="J55" s="34"/>
    </row>
    <row r="56" spans="1:10" x14ac:dyDescent="0.35">
      <c r="A56" s="26"/>
      <c r="B56" s="33"/>
      <c r="C56" s="50" t="str">
        <f>"Proprietor  M.No. "&amp;Inputs!$B$11</f>
        <v>Proprietor  M.No. 570376</v>
      </c>
      <c r="D56" s="50" t="s">
        <v>34</v>
      </c>
      <c r="E56" s="50" t="s">
        <v>34</v>
      </c>
      <c r="F56" s="34"/>
      <c r="G56" s="33"/>
      <c r="H56" s="33"/>
      <c r="I56" s="33"/>
      <c r="J56" s="34"/>
    </row>
    <row r="57" spans="1:10" x14ac:dyDescent="0.35">
      <c r="A57" s="26"/>
      <c r="B57" s="33"/>
      <c r="C57" s="50" t="str">
        <f>"UDIN: "&amp;Inputs!$B$12</f>
        <v xml:space="preserve">UDIN: </v>
      </c>
      <c r="D57" s="50" t="str">
        <f>"DIN: "&amp;Inputs!$B$14</f>
        <v>DIN: 10368816</v>
      </c>
      <c r="E57" s="50" t="str">
        <f>"DIN: "&amp;Inputs!$B$16</f>
        <v>DIN: 10368815</v>
      </c>
      <c r="F57" s="34"/>
      <c r="G57" s="33"/>
      <c r="H57" s="33"/>
      <c r="I57" s="33"/>
      <c r="J57" s="34"/>
    </row>
    <row r="58" spans="1:10" x14ac:dyDescent="0.35">
      <c r="A58" s="26"/>
      <c r="B58" s="33"/>
      <c r="C58" s="50" t="str">
        <f>"Place : "&amp;Inputs!$B$17</f>
        <v>Place : New Delhi</v>
      </c>
      <c r="D58" s="33"/>
      <c r="E58" s="33"/>
      <c r="F58" s="34"/>
      <c r="G58" s="33"/>
      <c r="H58" s="33"/>
      <c r="I58" s="33"/>
      <c r="J58" s="34"/>
    </row>
    <row r="59" spans="1:10" ht="15" thickBot="1" x14ac:dyDescent="0.4">
      <c r="A59" s="54"/>
      <c r="B59" s="56"/>
      <c r="C59" s="55" t="str">
        <f>"Date  : "&amp;Inputs!$B$18</f>
        <v>Date  : 15th Sep, 2026</v>
      </c>
      <c r="D59" s="56"/>
      <c r="E59" s="56"/>
      <c r="F59" s="57"/>
      <c r="G59" s="56"/>
      <c r="H59" s="56"/>
      <c r="I59" s="56"/>
      <c r="J59" s="57"/>
    </row>
  </sheetData>
  <mergeCells count="5">
    <mergeCell ref="B2:E2"/>
    <mergeCell ref="B3:E3"/>
    <mergeCell ref="B4:E4"/>
    <mergeCell ref="B6:E6"/>
    <mergeCell ref="C41:E41"/>
  </mergeCells>
  <pageMargins left="0.75" right="0.75" top="1" bottom="1" header="0.511811023622047" footer="0.511811023622047"/>
  <pageSetup paperSize="9" scale="69" fitToHeight="0"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B31"/>
  <sheetViews>
    <sheetView showGridLines="0" view="pageBreakPreview" zoomScale="90" zoomScaleNormal="100" zoomScaleSheetLayoutView="90" workbookViewId="0">
      <selection activeCell="B19" sqref="B19"/>
    </sheetView>
  </sheetViews>
  <sheetFormatPr defaultColWidth="8.6328125" defaultRowHeight="14.5" x14ac:dyDescent="0.35"/>
  <cols>
    <col min="1" max="1" width="3" customWidth="1"/>
    <col min="2" max="2" width="120" customWidth="1"/>
  </cols>
  <sheetData>
    <row r="1" spans="2:2" ht="15.5" x14ac:dyDescent="0.35">
      <c r="B1" s="12" t="str">
        <f>Inputs!$B$4</f>
        <v>HEMRAJ NARANG AND SONS PRIVATE LIMITED</v>
      </c>
    </row>
    <row r="2" spans="2:2" x14ac:dyDescent="0.35">
      <c r="B2" s="13" t="str">
        <f>"CIN: "&amp;Inputs!$B$6</f>
        <v>CIN: U56102DL2023PTC421829</v>
      </c>
    </row>
    <row r="4" spans="2:2" x14ac:dyDescent="0.35">
      <c r="B4" s="7" t="s">
        <v>89</v>
      </c>
    </row>
    <row r="6" spans="2:2" x14ac:dyDescent="0.35">
      <c r="B6" s="7" t="s">
        <v>90</v>
      </c>
    </row>
    <row r="7" spans="2:2" ht="75" customHeight="1" x14ac:dyDescent="0.35">
      <c r="B7" s="14" t="s">
        <v>387</v>
      </c>
    </row>
    <row r="8" spans="2:2" x14ac:dyDescent="0.35">
      <c r="B8" s="7" t="s">
        <v>91</v>
      </c>
    </row>
    <row r="9" spans="2:2" ht="90" customHeight="1" x14ac:dyDescent="0.35">
      <c r="B9" s="14" t="s">
        <v>92</v>
      </c>
    </row>
    <row r="10" spans="2:2" x14ac:dyDescent="0.35">
      <c r="B10" s="7" t="s">
        <v>93</v>
      </c>
    </row>
    <row r="11" spans="2:2" ht="30" customHeight="1" x14ac:dyDescent="0.35">
      <c r="B11" s="14" t="s">
        <v>94</v>
      </c>
    </row>
    <row r="12" spans="2:2" x14ac:dyDescent="0.35">
      <c r="B12" s="7" t="s">
        <v>95</v>
      </c>
    </row>
    <row r="13" spans="2:2" ht="45" customHeight="1" x14ac:dyDescent="0.35">
      <c r="B13" s="14" t="s">
        <v>96</v>
      </c>
    </row>
    <row r="14" spans="2:2" x14ac:dyDescent="0.35">
      <c r="B14" s="7" t="s">
        <v>97</v>
      </c>
    </row>
    <row r="15" spans="2:2" ht="30" customHeight="1" x14ac:dyDescent="0.35">
      <c r="B15" s="14" t="s">
        <v>98</v>
      </c>
    </row>
    <row r="16" spans="2:2" x14ac:dyDescent="0.35">
      <c r="B16" s="7" t="s">
        <v>99</v>
      </c>
    </row>
    <row r="17" spans="2:2" ht="30" customHeight="1" x14ac:dyDescent="0.35">
      <c r="B17" s="14" t="s">
        <v>100</v>
      </c>
    </row>
    <row r="18" spans="2:2" x14ac:dyDescent="0.35">
      <c r="B18" s="7" t="s">
        <v>101</v>
      </c>
    </row>
    <row r="19" spans="2:2" ht="45" customHeight="1" x14ac:dyDescent="0.35">
      <c r="B19" s="14" t="s">
        <v>102</v>
      </c>
    </row>
    <row r="20" spans="2:2" x14ac:dyDescent="0.35">
      <c r="B20" s="7" t="s">
        <v>103</v>
      </c>
    </row>
    <row r="21" spans="2:2" ht="30" customHeight="1" x14ac:dyDescent="0.35">
      <c r="B21" s="14" t="s">
        <v>104</v>
      </c>
    </row>
    <row r="22" spans="2:2" x14ac:dyDescent="0.35">
      <c r="B22" s="7" t="s">
        <v>105</v>
      </c>
    </row>
    <row r="23" spans="2:2" ht="60" customHeight="1" x14ac:dyDescent="0.35">
      <c r="B23" s="14" t="s">
        <v>106</v>
      </c>
    </row>
    <row r="24" spans="2:2" x14ac:dyDescent="0.35">
      <c r="B24" s="7" t="s">
        <v>107</v>
      </c>
    </row>
    <row r="25" spans="2:2" ht="30" customHeight="1" x14ac:dyDescent="0.35">
      <c r="B25" s="14" t="s">
        <v>108</v>
      </c>
    </row>
    <row r="26" spans="2:2" x14ac:dyDescent="0.35">
      <c r="B26" s="7" t="s">
        <v>109</v>
      </c>
    </row>
    <row r="27" spans="2:2" ht="60" customHeight="1" x14ac:dyDescent="0.35">
      <c r="B27" s="14" t="s">
        <v>110</v>
      </c>
    </row>
    <row r="28" spans="2:2" x14ac:dyDescent="0.35">
      <c r="B28" s="7" t="s">
        <v>111</v>
      </c>
    </row>
    <row r="29" spans="2:2" ht="45" customHeight="1" x14ac:dyDescent="0.35">
      <c r="B29" s="14" t="s">
        <v>112</v>
      </c>
    </row>
    <row r="30" spans="2:2" x14ac:dyDescent="0.35">
      <c r="B30" s="7" t="s">
        <v>113</v>
      </c>
    </row>
    <row r="31" spans="2:2" ht="30" customHeight="1" x14ac:dyDescent="0.35">
      <c r="B31" s="14" t="s">
        <v>114</v>
      </c>
    </row>
  </sheetData>
  <pageMargins left="0.75" right="0.75" top="1" bottom="1" header="0.511811023622047" footer="0.511811023622047"/>
  <pageSetup paperSize="9" scale="70"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78"/>
  <sheetViews>
    <sheetView showGridLines="0" view="pageBreakPreview" topLeftCell="A153" zoomScale="90" zoomScaleNormal="100" zoomScaleSheetLayoutView="90" workbookViewId="0">
      <selection activeCell="B165" sqref="B165"/>
    </sheetView>
  </sheetViews>
  <sheetFormatPr defaultColWidth="8.6328125" defaultRowHeight="14.5" x14ac:dyDescent="0.35"/>
  <cols>
    <col min="1" max="1" width="3" style="26" customWidth="1"/>
    <col min="2" max="2" width="68" style="33" customWidth="1"/>
    <col min="3" max="5" width="18" style="33" customWidth="1"/>
    <col min="6" max="6" width="18" style="34" customWidth="1"/>
  </cols>
  <sheetData>
    <row r="1" spans="1:6" ht="15.5" x14ac:dyDescent="0.35">
      <c r="A1" s="23"/>
      <c r="B1" s="67" t="str">
        <f>Inputs!$B$4</f>
        <v>HEMRAJ NARANG AND SONS PRIVATE LIMITED</v>
      </c>
      <c r="C1" s="24"/>
      <c r="D1" s="24"/>
      <c r="E1" s="24"/>
      <c r="F1" s="25"/>
    </row>
    <row r="2" spans="1:6" x14ac:dyDescent="0.35">
      <c r="B2" s="51" t="s">
        <v>115</v>
      </c>
    </row>
    <row r="4" spans="1:6" x14ac:dyDescent="0.35">
      <c r="B4" s="51" t="s">
        <v>116</v>
      </c>
      <c r="D4" s="47" t="s">
        <v>1</v>
      </c>
    </row>
    <row r="5" spans="1:6" ht="27.75" customHeight="1" x14ac:dyDescent="0.35">
      <c r="B5" s="68" t="s">
        <v>2</v>
      </c>
      <c r="C5" s="38" t="s">
        <v>4</v>
      </c>
      <c r="D5" s="38" t="s">
        <v>5</v>
      </c>
    </row>
    <row r="6" spans="1:6" x14ac:dyDescent="0.35">
      <c r="B6" s="40" t="s">
        <v>117</v>
      </c>
    </row>
    <row r="7" spans="1:6" x14ac:dyDescent="0.35">
      <c r="B7" s="41" t="str">
        <f>TEXT(Inputs!$B$7,"#,##0")&amp;" (10,000) Equity Shares of Rs.10 each"</f>
        <v>10,000 (10,000) Equity Shares of Rs.10 each</v>
      </c>
      <c r="C7" s="43">
        <f>Inputs!$B$7*10/100</f>
        <v>1000</v>
      </c>
      <c r="D7" s="64">
        <v>1000</v>
      </c>
    </row>
    <row r="8" spans="1:6" x14ac:dyDescent="0.35">
      <c r="B8" s="40" t="s">
        <v>118</v>
      </c>
    </row>
    <row r="9" spans="1:6" x14ac:dyDescent="0.35">
      <c r="B9" s="41" t="s">
        <v>119</v>
      </c>
      <c r="C9" s="43">
        <f>-SUMIF(TB!$C:$C,"SC",TB!$H:$H)/100</f>
        <v>1000</v>
      </c>
      <c r="D9" s="43">
        <f>-SUMIF(TB!$C:$C,"SC",TB!$I:$I)/100</f>
        <v>1000</v>
      </c>
    </row>
    <row r="10" spans="1:6" ht="15" thickBot="1" x14ac:dyDescent="0.4">
      <c r="B10" s="51" t="s">
        <v>120</v>
      </c>
      <c r="C10" s="5">
        <f>SUM(C9:C9)</f>
        <v>1000</v>
      </c>
      <c r="D10" s="5">
        <f>SUM(D9:D9)</f>
        <v>1000</v>
      </c>
    </row>
    <row r="12" spans="1:6" ht="15" customHeight="1" x14ac:dyDescent="0.35">
      <c r="B12" s="66" t="s">
        <v>121</v>
      </c>
      <c r="C12" s="66"/>
      <c r="D12" s="66"/>
      <c r="E12" s="66"/>
    </row>
    <row r="14" spans="1:6" x14ac:dyDescent="0.35">
      <c r="B14" s="40" t="s">
        <v>122</v>
      </c>
    </row>
    <row r="15" spans="1:6" x14ac:dyDescent="0.35">
      <c r="B15" s="38" t="s">
        <v>2</v>
      </c>
      <c r="C15" s="38" t="s">
        <v>123</v>
      </c>
      <c r="D15" s="38" t="s">
        <v>124</v>
      </c>
      <c r="E15" s="38" t="s">
        <v>125</v>
      </c>
      <c r="F15" s="39" t="s">
        <v>126</v>
      </c>
    </row>
    <row r="16" spans="1:6" x14ac:dyDescent="0.35">
      <c r="B16" s="50" t="s">
        <v>127</v>
      </c>
      <c r="C16" s="69">
        <v>10000</v>
      </c>
      <c r="D16" s="43">
        <f>C16*10/100</f>
        <v>1000</v>
      </c>
      <c r="E16" s="69">
        <v>10000</v>
      </c>
      <c r="F16" s="44">
        <f>E16*10/100</f>
        <v>1000</v>
      </c>
    </row>
    <row r="17" spans="2:6" x14ac:dyDescent="0.35">
      <c r="B17" s="50" t="s">
        <v>128</v>
      </c>
      <c r="C17" s="70">
        <f>ROUND(-SUMIF(TB!$C:$C,"SC",TB!$H:$H)/10-C16,0)</f>
        <v>0</v>
      </c>
      <c r="D17" s="43">
        <f>C17*10/100</f>
        <v>0</v>
      </c>
      <c r="E17" s="69">
        <v>0</v>
      </c>
      <c r="F17" s="44">
        <f>E17*10/100</f>
        <v>0</v>
      </c>
    </row>
    <row r="18" spans="2:6" x14ac:dyDescent="0.35">
      <c r="B18" s="50" t="s">
        <v>129</v>
      </c>
      <c r="C18" s="43">
        <v>0</v>
      </c>
      <c r="D18" s="43">
        <v>0</v>
      </c>
      <c r="E18" s="43">
        <v>0</v>
      </c>
      <c r="F18" s="44">
        <v>0</v>
      </c>
    </row>
    <row r="19" spans="2:6" x14ac:dyDescent="0.35">
      <c r="B19" s="51" t="s">
        <v>130</v>
      </c>
      <c r="C19" s="16">
        <f>C16+C17-C18</f>
        <v>10000</v>
      </c>
      <c r="D19" s="4">
        <f>D16+D17-D18</f>
        <v>1000</v>
      </c>
      <c r="E19" s="16">
        <f>E16+E17-E18</f>
        <v>10000</v>
      </c>
      <c r="F19" s="45">
        <f>F16+F17-F18</f>
        <v>1000</v>
      </c>
    </row>
    <row r="21" spans="2:6" x14ac:dyDescent="0.35">
      <c r="B21" s="40" t="s">
        <v>131</v>
      </c>
    </row>
    <row r="22" spans="2:6" ht="45" customHeight="1" x14ac:dyDescent="0.35">
      <c r="B22" s="71" t="s">
        <v>132</v>
      </c>
      <c r="C22" s="71"/>
      <c r="D22" s="71"/>
      <c r="E22" s="71"/>
    </row>
    <row r="24" spans="2:6" ht="27.5" x14ac:dyDescent="0.35">
      <c r="B24" s="40" t="s">
        <v>133</v>
      </c>
    </row>
    <row r="25" spans="2:6" ht="27.75" customHeight="1" x14ac:dyDescent="0.35">
      <c r="B25" s="38" t="s">
        <v>134</v>
      </c>
      <c r="C25" s="38" t="s">
        <v>135</v>
      </c>
      <c r="D25" s="38" t="s">
        <v>136</v>
      </c>
      <c r="E25" s="38" t="s">
        <v>137</v>
      </c>
      <c r="F25" s="39" t="s">
        <v>136</v>
      </c>
    </row>
    <row r="26" spans="2:6" x14ac:dyDescent="0.35">
      <c r="B26" s="50" t="s">
        <v>138</v>
      </c>
      <c r="C26" s="70">
        <f>-SUMIF(TB!$A:$A,"Manshu*Equity*",TB!$H:$H)/10</f>
        <v>5000</v>
      </c>
      <c r="D26" s="72">
        <f>C26/C$19</f>
        <v>0.5</v>
      </c>
      <c r="E26" s="70">
        <f>-SUMIF(TB!$A:$A,"Manshu*Equity*",TB!$I:$I)/10</f>
        <v>5000</v>
      </c>
      <c r="F26" s="73">
        <f>E26/E$19</f>
        <v>0.5</v>
      </c>
    </row>
    <row r="27" spans="2:6" x14ac:dyDescent="0.35">
      <c r="B27" s="50" t="s">
        <v>139</v>
      </c>
      <c r="C27" s="70">
        <f>-SUMIF(TB!$A:$A,"Lokesh*Equity*",TB!$H:$H)/10</f>
        <v>5000</v>
      </c>
      <c r="D27" s="72">
        <f>C27/C$19</f>
        <v>0.5</v>
      </c>
      <c r="E27" s="70">
        <f>-SUMIF(TB!$A:$A,"Lokesh*Equity*",TB!$I:$I)/10</f>
        <v>5000</v>
      </c>
      <c r="F27" s="73">
        <f>E27/E$19</f>
        <v>0.5</v>
      </c>
    </row>
    <row r="28" spans="2:6" x14ac:dyDescent="0.35">
      <c r="B28" s="51" t="s">
        <v>120</v>
      </c>
      <c r="C28" s="16">
        <f>SUM(C26:C27)</f>
        <v>10000</v>
      </c>
      <c r="D28" s="17">
        <f>SUM(D26:D27)</f>
        <v>1</v>
      </c>
      <c r="E28" s="16">
        <f>SUM(E26:E27)</f>
        <v>10000</v>
      </c>
      <c r="F28" s="74">
        <f>SUM(F26:F27)</f>
        <v>1</v>
      </c>
    </row>
    <row r="29" spans="2:6" ht="15" customHeight="1" x14ac:dyDescent="0.35">
      <c r="B29" s="66" t="s">
        <v>140</v>
      </c>
      <c r="C29" s="66"/>
      <c r="D29" s="66"/>
      <c r="E29" s="66"/>
    </row>
    <row r="30" spans="2:6" ht="45" customHeight="1" x14ac:dyDescent="0.35">
      <c r="B30" s="71" t="s">
        <v>141</v>
      </c>
      <c r="C30" s="71"/>
      <c r="D30" s="71"/>
      <c r="E30" s="71"/>
    </row>
    <row r="32" spans="2:6" x14ac:dyDescent="0.35">
      <c r="B32" s="51" t="s">
        <v>142</v>
      </c>
      <c r="D32" s="47" t="s">
        <v>1</v>
      </c>
    </row>
    <row r="33" spans="2:5" ht="27.75" customHeight="1" x14ac:dyDescent="0.35">
      <c r="B33" s="68" t="s">
        <v>2</v>
      </c>
      <c r="C33" s="38" t="s">
        <v>4</v>
      </c>
      <c r="D33" s="38" t="s">
        <v>5</v>
      </c>
    </row>
    <row r="34" spans="2:5" x14ac:dyDescent="0.35">
      <c r="B34" s="40" t="s">
        <v>143</v>
      </c>
    </row>
    <row r="35" spans="2:5" x14ac:dyDescent="0.35">
      <c r="B35" s="41" t="s">
        <v>144</v>
      </c>
      <c r="C35" s="43">
        <f>-SUMIF(TB!$C:$C,"RS-OPEN",TB!$H:$H)/100</f>
        <v>-900</v>
      </c>
      <c r="D35" s="43">
        <f>-SUMIF(TB!$C:$C,"RS-OPEN",TB!$I:$I)/100</f>
        <v>-500</v>
      </c>
    </row>
    <row r="36" spans="2:5" x14ac:dyDescent="0.35">
      <c r="B36" s="41" t="s">
        <v>145</v>
      </c>
      <c r="C36" s="75">
        <f>'Profit and Loss'!D29</f>
        <v>-1877.9870000000001</v>
      </c>
      <c r="D36" s="75">
        <f>'Profit and Loss'!E29</f>
        <v>-400</v>
      </c>
    </row>
    <row r="37" spans="2:5" ht="15" thickBot="1" x14ac:dyDescent="0.4">
      <c r="B37" s="51" t="s">
        <v>146</v>
      </c>
      <c r="C37" s="5">
        <f>SUM(C35:C36)</f>
        <v>-2777.9870000000001</v>
      </c>
      <c r="D37" s="5">
        <f>SUM(D35:D36)</f>
        <v>-900</v>
      </c>
    </row>
    <row r="39" spans="2:5" x14ac:dyDescent="0.35">
      <c r="B39" s="51" t="s">
        <v>147</v>
      </c>
      <c r="D39" s="47" t="s">
        <v>1</v>
      </c>
    </row>
    <row r="40" spans="2:5" ht="27.75" customHeight="1" x14ac:dyDescent="0.35">
      <c r="B40" s="68" t="s">
        <v>2</v>
      </c>
      <c r="C40" s="38" t="s">
        <v>4</v>
      </c>
      <c r="D40" s="38" t="s">
        <v>5</v>
      </c>
    </row>
    <row r="41" spans="2:5" x14ac:dyDescent="0.35">
      <c r="B41" s="40" t="s">
        <v>148</v>
      </c>
    </row>
    <row r="42" spans="2:5" x14ac:dyDescent="0.35">
      <c r="B42" s="41" t="s">
        <v>149</v>
      </c>
      <c r="C42" s="43">
        <f>-SUMIF(TB!$C:$C,"LTB-DIR",TB!$H:$H)/100</f>
        <v>6000</v>
      </c>
      <c r="D42" s="43">
        <f>-SUMIF(TB!$C:$C,"LTB-DIR",TB!$I:$I)/100</f>
        <v>0</v>
      </c>
    </row>
    <row r="43" spans="2:5" ht="15" thickBot="1" x14ac:dyDescent="0.4">
      <c r="B43" s="51" t="s">
        <v>120</v>
      </c>
      <c r="C43" s="5">
        <f>SUM(C42:C42)</f>
        <v>6000</v>
      </c>
      <c r="D43" s="5">
        <f>SUM(D42:D42)</f>
        <v>0</v>
      </c>
    </row>
    <row r="45" spans="2:5" ht="54.75" customHeight="1" x14ac:dyDescent="0.35">
      <c r="B45" s="71" t="s">
        <v>150</v>
      </c>
      <c r="C45" s="71"/>
      <c r="D45" s="71"/>
      <c r="E45" s="71"/>
    </row>
    <row r="46" spans="2:5" ht="15" customHeight="1" x14ac:dyDescent="0.35">
      <c r="B46" s="71" t="s">
        <v>151</v>
      </c>
      <c r="C46" s="71"/>
      <c r="D46" s="71"/>
      <c r="E46" s="71"/>
    </row>
    <row r="48" spans="2:5" x14ac:dyDescent="0.35">
      <c r="B48" s="51" t="s">
        <v>152</v>
      </c>
      <c r="D48" s="47" t="s">
        <v>1</v>
      </c>
    </row>
    <row r="49" spans="2:5" ht="27.75" customHeight="1" x14ac:dyDescent="0.35">
      <c r="B49" s="68" t="s">
        <v>2</v>
      </c>
      <c r="C49" s="38" t="s">
        <v>4</v>
      </c>
      <c r="D49" s="38" t="s">
        <v>5</v>
      </c>
    </row>
    <row r="50" spans="2:5" x14ac:dyDescent="0.35">
      <c r="B50" s="41" t="s">
        <v>153</v>
      </c>
      <c r="C50" s="43">
        <f>-SUMIF(TB!$C:$C,"TP-MSME",TB!$H:$H)/100</f>
        <v>0</v>
      </c>
      <c r="D50" s="43">
        <f>-SUMIF(TB!$C:$C,"TP-MSME",TB!$I:$I)/100</f>
        <v>0</v>
      </c>
    </row>
    <row r="51" spans="2:5" ht="27.5" x14ac:dyDescent="0.35">
      <c r="B51" s="41" t="s">
        <v>154</v>
      </c>
      <c r="C51" s="43">
        <f>-SUMIF(TB!$C:$C,"TP-OTH",TB!$H:$H)/100</f>
        <v>0</v>
      </c>
      <c r="D51" s="43">
        <f>-SUMIF(TB!$C:$C,"TP-OTH",TB!$I:$I)/100</f>
        <v>0</v>
      </c>
    </row>
    <row r="52" spans="2:5" ht="15" thickBot="1" x14ac:dyDescent="0.4">
      <c r="B52" s="51" t="s">
        <v>120</v>
      </c>
      <c r="C52" s="5">
        <f>SUM(C50:C51)</f>
        <v>0</v>
      </c>
      <c r="D52" s="5">
        <f>SUM(D50:D51)</f>
        <v>0</v>
      </c>
    </row>
    <row r="54" spans="2:5" ht="30" customHeight="1" x14ac:dyDescent="0.35">
      <c r="B54" s="71" t="s">
        <v>155</v>
      </c>
      <c r="C54" s="71"/>
      <c r="D54" s="71"/>
      <c r="E54" s="71"/>
    </row>
    <row r="56" spans="2:5" x14ac:dyDescent="0.35">
      <c r="B56" s="51" t="s">
        <v>156</v>
      </c>
      <c r="D56" s="47" t="s">
        <v>1</v>
      </c>
    </row>
    <row r="57" spans="2:5" ht="27.75" customHeight="1" x14ac:dyDescent="0.35">
      <c r="B57" s="68" t="s">
        <v>2</v>
      </c>
      <c r="C57" s="38" t="s">
        <v>4</v>
      </c>
      <c r="D57" s="38" t="s">
        <v>5</v>
      </c>
    </row>
    <row r="58" spans="2:5" x14ac:dyDescent="0.35">
      <c r="B58" s="41" t="s">
        <v>157</v>
      </c>
      <c r="C58" s="43">
        <f>-SUMIF(TB!$C:$C,"OCL-AUD",TB!$H:$H)/100</f>
        <v>500</v>
      </c>
      <c r="D58" s="43">
        <f>-SUMIF(TB!$C:$C,"OCL-AUD",TB!$I:$I)/100</f>
        <v>200</v>
      </c>
    </row>
    <row r="59" spans="2:5" x14ac:dyDescent="0.35">
      <c r="B59" s="41" t="s">
        <v>158</v>
      </c>
      <c r="C59" s="43">
        <f>-SUMIF(TB!$C:$C,"OCL-EXP",TB!$H:$H)/100</f>
        <v>650</v>
      </c>
      <c r="D59" s="43">
        <f>-SUMIF(TB!$C:$C,"OCL-EXP",TB!$I:$I)/100</f>
        <v>200</v>
      </c>
    </row>
    <row r="60" spans="2:5" ht="15" thickBot="1" x14ac:dyDescent="0.4">
      <c r="B60" s="51" t="s">
        <v>120</v>
      </c>
      <c r="C60" s="5">
        <f>SUM(C58:C59)</f>
        <v>1150</v>
      </c>
      <c r="D60" s="5">
        <f>SUM(D58:D59)</f>
        <v>400</v>
      </c>
    </row>
    <row r="62" spans="2:5" ht="30" customHeight="1" x14ac:dyDescent="0.35">
      <c r="B62" s="66" t="s">
        <v>159</v>
      </c>
      <c r="C62" s="66"/>
      <c r="D62" s="66"/>
      <c r="E62" s="66"/>
    </row>
    <row r="64" spans="2:5" x14ac:dyDescent="0.35">
      <c r="B64" s="51" t="s">
        <v>160</v>
      </c>
      <c r="D64" s="47" t="s">
        <v>1</v>
      </c>
    </row>
    <row r="65" spans="2:5" ht="27.75" customHeight="1" x14ac:dyDescent="0.35">
      <c r="B65" s="68" t="s">
        <v>2</v>
      </c>
      <c r="C65" s="38" t="s">
        <v>4</v>
      </c>
      <c r="D65" s="38" t="s">
        <v>5</v>
      </c>
    </row>
    <row r="66" spans="2:5" x14ac:dyDescent="0.35">
      <c r="B66" s="41" t="s">
        <v>161</v>
      </c>
      <c r="C66" s="43">
        <f>-SUMIF(TB!$C:$C,"PROV-TAX",TB!$H:$H)/100</f>
        <v>0</v>
      </c>
      <c r="D66" s="43">
        <f>-SUMIF(TB!$C:$C,"PROV-TAX",TB!$I:$I)/100</f>
        <v>0</v>
      </c>
    </row>
    <row r="67" spans="2:5" ht="15" thickBot="1" x14ac:dyDescent="0.4">
      <c r="B67" s="51" t="s">
        <v>120</v>
      </c>
      <c r="C67" s="5">
        <f>SUM(C66:C66)</f>
        <v>0</v>
      </c>
      <c r="D67" s="5">
        <f>SUM(D66:D66)</f>
        <v>0</v>
      </c>
    </row>
    <row r="69" spans="2:5" x14ac:dyDescent="0.35">
      <c r="B69" s="51" t="s">
        <v>162</v>
      </c>
      <c r="D69" s="47" t="s">
        <v>1</v>
      </c>
    </row>
    <row r="70" spans="2:5" ht="27.75" customHeight="1" x14ac:dyDescent="0.35">
      <c r="B70" s="68" t="s">
        <v>2</v>
      </c>
      <c r="C70" s="38" t="s">
        <v>4</v>
      </c>
      <c r="D70" s="38" t="s">
        <v>5</v>
      </c>
    </row>
    <row r="71" spans="2:5" x14ac:dyDescent="0.35">
      <c r="B71" s="65" t="s">
        <v>163</v>
      </c>
    </row>
    <row r="72" spans="2:5" x14ac:dyDescent="0.35">
      <c r="B72" s="41" t="s">
        <v>164</v>
      </c>
      <c r="C72" s="43">
        <f>SUMIF(TB!$C:$C,"LTLA-SD",TB!$H:$H)/100</f>
        <v>4800</v>
      </c>
      <c r="D72" s="43">
        <f>SUMIF(TB!$C:$C,"LTLA-SD",TB!$I:$I)/100</f>
        <v>0</v>
      </c>
    </row>
    <row r="73" spans="2:5" ht="15" thickBot="1" x14ac:dyDescent="0.4">
      <c r="B73" s="51" t="s">
        <v>120</v>
      </c>
      <c r="C73" s="5">
        <f>SUM(C72:C72)</f>
        <v>4800</v>
      </c>
      <c r="D73" s="5">
        <f>SUM(D72:D72)</f>
        <v>0</v>
      </c>
    </row>
    <row r="75" spans="2:5" ht="30" customHeight="1" x14ac:dyDescent="0.35">
      <c r="B75" s="71" t="s">
        <v>165</v>
      </c>
      <c r="C75" s="71"/>
      <c r="D75" s="71"/>
      <c r="E75" s="71"/>
    </row>
    <row r="77" spans="2:5" x14ac:dyDescent="0.35">
      <c r="B77" s="51" t="s">
        <v>166</v>
      </c>
      <c r="D77" s="47" t="s">
        <v>1</v>
      </c>
    </row>
    <row r="78" spans="2:5" ht="27.75" customHeight="1" x14ac:dyDescent="0.35">
      <c r="B78" s="68" t="s">
        <v>2</v>
      </c>
      <c r="C78" s="38" t="s">
        <v>4</v>
      </c>
      <c r="D78" s="38" t="s">
        <v>5</v>
      </c>
    </row>
    <row r="79" spans="2:5" x14ac:dyDescent="0.35">
      <c r="B79" s="41" t="s">
        <v>167</v>
      </c>
      <c r="C79" s="43">
        <f>SUMIF(TB!$C:$C,"BANK",TB!$H:$H)/100</f>
        <v>72.013000000000005</v>
      </c>
      <c r="D79" s="43">
        <f>SUMIF(TB!$C:$C,"BANK",TB!$I:$I)/100</f>
        <v>0</v>
      </c>
    </row>
    <row r="80" spans="2:5" x14ac:dyDescent="0.35">
      <c r="B80" s="41" t="s">
        <v>86</v>
      </c>
      <c r="C80" s="43">
        <f>SUMIF(TB!$C:$C,"CASH",TB!$H:$H)/100</f>
        <v>500</v>
      </c>
      <c r="D80" s="43">
        <f>SUMIF(TB!$C:$C,"CASH",TB!$I:$I)/100</f>
        <v>500</v>
      </c>
    </row>
    <row r="81" spans="2:4" ht="15" thickBot="1" x14ac:dyDescent="0.4">
      <c r="B81" s="51" t="s">
        <v>120</v>
      </c>
      <c r="C81" s="5">
        <f>SUM(C79:C80)</f>
        <v>572.01300000000003</v>
      </c>
      <c r="D81" s="5">
        <f>SUM(D79:D80)</f>
        <v>500</v>
      </c>
    </row>
    <row r="83" spans="2:4" x14ac:dyDescent="0.35">
      <c r="B83" s="51" t="s">
        <v>168</v>
      </c>
      <c r="D83" s="47" t="s">
        <v>1</v>
      </c>
    </row>
    <row r="84" spans="2:4" ht="27.75" customHeight="1" x14ac:dyDescent="0.35">
      <c r="B84" s="68" t="s">
        <v>2</v>
      </c>
      <c r="C84" s="38" t="s">
        <v>36</v>
      </c>
      <c r="D84" s="38" t="s">
        <v>37</v>
      </c>
    </row>
    <row r="85" spans="2:4" x14ac:dyDescent="0.35">
      <c r="B85" s="41" t="s">
        <v>169</v>
      </c>
      <c r="C85" s="43">
        <f>-SUMIF(TB!$C:$C,"REV",TB!$H:$H)/100</f>
        <v>0</v>
      </c>
      <c r="D85" s="43">
        <f>-SUMIF(TB!$C:$C,"REV",TB!$I:$I)/100</f>
        <v>0</v>
      </c>
    </row>
    <row r="86" spans="2:4" ht="15" thickBot="1" x14ac:dyDescent="0.4">
      <c r="B86" s="51" t="s">
        <v>120</v>
      </c>
      <c r="C86" s="5">
        <f>SUM(C85:C85)</f>
        <v>0</v>
      </c>
      <c r="D86" s="5">
        <f>SUM(D85:D85)</f>
        <v>0</v>
      </c>
    </row>
    <row r="88" spans="2:4" x14ac:dyDescent="0.35">
      <c r="B88" s="51" t="s">
        <v>170</v>
      </c>
      <c r="D88" s="47" t="s">
        <v>1</v>
      </c>
    </row>
    <row r="89" spans="2:4" ht="27.75" customHeight="1" x14ac:dyDescent="0.35">
      <c r="B89" s="68" t="s">
        <v>2</v>
      </c>
      <c r="C89" s="38" t="s">
        <v>36</v>
      </c>
      <c r="D89" s="38" t="s">
        <v>37</v>
      </c>
    </row>
    <row r="90" spans="2:4" x14ac:dyDescent="0.35">
      <c r="B90" s="41" t="s">
        <v>171</v>
      </c>
      <c r="C90" s="43">
        <f>-SUMIF(TB!$C:$C,"OI",TB!$H:$H)/100</f>
        <v>0</v>
      </c>
      <c r="D90" s="43">
        <f>-SUMIF(TB!$C:$C,"OI",TB!$I:$I)/100</f>
        <v>0</v>
      </c>
    </row>
    <row r="91" spans="2:4" ht="15" thickBot="1" x14ac:dyDescent="0.4">
      <c r="B91" s="51" t="s">
        <v>120</v>
      </c>
      <c r="C91" s="5">
        <f>SUM(C90:C90)</f>
        <v>0</v>
      </c>
      <c r="D91" s="5">
        <f>SUM(D90:D90)</f>
        <v>0</v>
      </c>
    </row>
    <row r="93" spans="2:4" x14ac:dyDescent="0.35">
      <c r="B93" s="51" t="s">
        <v>172</v>
      </c>
      <c r="D93" s="47" t="s">
        <v>1</v>
      </c>
    </row>
    <row r="94" spans="2:4" ht="27.75" customHeight="1" x14ac:dyDescent="0.35">
      <c r="B94" s="68" t="s">
        <v>2</v>
      </c>
      <c r="C94" s="38" t="s">
        <v>36</v>
      </c>
      <c r="D94" s="38" t="s">
        <v>37</v>
      </c>
    </row>
    <row r="95" spans="2:4" x14ac:dyDescent="0.35">
      <c r="B95" s="41" t="s">
        <v>173</v>
      </c>
      <c r="C95" s="43">
        <f>SUMIF(TB!$C:$C,"FIN",TB!$H:$H)/100</f>
        <v>0</v>
      </c>
      <c r="D95" s="43">
        <f>SUMIF(TB!$C:$C,"FIN",TB!$I:$I)/100</f>
        <v>0</v>
      </c>
    </row>
    <row r="96" spans="2:4" ht="15" thickBot="1" x14ac:dyDescent="0.4">
      <c r="B96" s="51" t="s">
        <v>120</v>
      </c>
      <c r="C96" s="5">
        <f>SUM(C95:C95)</f>
        <v>0</v>
      </c>
      <c r="D96" s="5">
        <f>SUM(D95:D95)</f>
        <v>0</v>
      </c>
    </row>
    <row r="98" spans="2:4" x14ac:dyDescent="0.35">
      <c r="B98" s="51" t="s">
        <v>174</v>
      </c>
      <c r="D98" s="47" t="s">
        <v>1</v>
      </c>
    </row>
    <row r="99" spans="2:4" ht="27.75" customHeight="1" x14ac:dyDescent="0.35">
      <c r="B99" s="68" t="s">
        <v>2</v>
      </c>
      <c r="C99" s="38" t="s">
        <v>36</v>
      </c>
      <c r="D99" s="38" t="s">
        <v>37</v>
      </c>
    </row>
    <row r="100" spans="2:4" x14ac:dyDescent="0.35">
      <c r="B100" s="41" t="s">
        <v>175</v>
      </c>
      <c r="C100" s="43">
        <f>SUMIF(TB!$C:$C,"EXP-AUD",TB!$H:$H)/100</f>
        <v>300</v>
      </c>
      <c r="D100" s="43">
        <f>SUMIF(TB!$C:$C,"EXP-AUD",TB!$I:$I)/100</f>
        <v>200</v>
      </c>
    </row>
    <row r="101" spans="2:4" x14ac:dyDescent="0.35">
      <c r="B101" s="41" t="s">
        <v>176</v>
      </c>
      <c r="C101" s="43">
        <f>SUMIF(TB!$C:$C,"EXP-ACC",TB!$H:$H)/100</f>
        <v>250</v>
      </c>
      <c r="D101" s="43">
        <f>SUMIF(TB!$C:$C,"EXP-ACC",TB!$I:$I)/100</f>
        <v>100</v>
      </c>
    </row>
    <row r="102" spans="2:4" x14ac:dyDescent="0.35">
      <c r="B102" s="41" t="s">
        <v>177</v>
      </c>
      <c r="C102" s="43">
        <f>SUMIF(TB!$C:$C,"EXP-ROC",TB!$H:$H)/100</f>
        <v>200</v>
      </c>
      <c r="D102" s="43">
        <f>SUMIF(TB!$C:$C,"EXP-ROC",TB!$I:$I)/100</f>
        <v>0</v>
      </c>
    </row>
    <row r="103" spans="2:4" x14ac:dyDescent="0.35">
      <c r="B103" s="41" t="s">
        <v>178</v>
      </c>
      <c r="C103" s="43">
        <f>SUMIF(TB!$C:$C,"EXP-OFF",TB!$H:$H)/100</f>
        <v>620</v>
      </c>
      <c r="D103" s="43">
        <f>SUMIF(TB!$C:$C,"EXP-OFF",TB!$I:$I)/100</f>
        <v>0</v>
      </c>
    </row>
    <row r="104" spans="2:4" x14ac:dyDescent="0.35">
      <c r="B104" s="41" t="s">
        <v>179</v>
      </c>
      <c r="C104" s="43">
        <f>SUMIF(TB!$C:$C,"EXP-BANK",TB!$H:$H)/100</f>
        <v>107.98700000000001</v>
      </c>
      <c r="D104" s="43">
        <f>SUMIF(TB!$C:$C,"EXP-BANK",TB!$I:$I)/100</f>
        <v>0</v>
      </c>
    </row>
    <row r="105" spans="2:4" x14ac:dyDescent="0.35">
      <c r="B105" s="41" t="s">
        <v>180</v>
      </c>
      <c r="C105" s="43">
        <f>SUMIF(TB!$C:$C,"EXP-MISC",TB!$H:$H)/100</f>
        <v>400</v>
      </c>
      <c r="D105" s="43">
        <f>SUMIF(TB!$C:$C,"EXP-MISC",TB!$I:$I)/100</f>
        <v>100</v>
      </c>
    </row>
    <row r="106" spans="2:4" ht="15" thickBot="1" x14ac:dyDescent="0.4">
      <c r="B106" s="51" t="s">
        <v>120</v>
      </c>
      <c r="C106" s="5">
        <f>SUM(C100:C105)</f>
        <v>1877.9870000000001</v>
      </c>
      <c r="D106" s="5">
        <f>SUM(D100:D105)</f>
        <v>400</v>
      </c>
    </row>
    <row r="108" spans="2:4" x14ac:dyDescent="0.35">
      <c r="B108" s="40" t="s">
        <v>181</v>
      </c>
    </row>
    <row r="109" spans="2:4" x14ac:dyDescent="0.35">
      <c r="B109" s="41" t="s">
        <v>182</v>
      </c>
      <c r="C109" s="43">
        <f>C100</f>
        <v>300</v>
      </c>
      <c r="D109" s="43">
        <f>D100</f>
        <v>200</v>
      </c>
    </row>
    <row r="110" spans="2:4" x14ac:dyDescent="0.35">
      <c r="B110" s="41" t="s">
        <v>183</v>
      </c>
      <c r="C110" s="43">
        <v>0</v>
      </c>
      <c r="D110" s="43">
        <v>0</v>
      </c>
    </row>
    <row r="111" spans="2:4" x14ac:dyDescent="0.35">
      <c r="B111" s="41" t="s">
        <v>184</v>
      </c>
      <c r="C111" s="43">
        <v>0</v>
      </c>
      <c r="D111" s="43">
        <v>0</v>
      </c>
    </row>
    <row r="112" spans="2:4" ht="15" thickBot="1" x14ac:dyDescent="0.4">
      <c r="B112" s="51" t="s">
        <v>120</v>
      </c>
      <c r="C112" s="5">
        <f>SUM(C109:C111)</f>
        <v>300</v>
      </c>
      <c r="D112" s="5">
        <f>SUM(D109:D111)</f>
        <v>200</v>
      </c>
    </row>
    <row r="114" spans="2:6" x14ac:dyDescent="0.35">
      <c r="B114" s="51" t="s">
        <v>185</v>
      </c>
    </row>
    <row r="115" spans="2:6" ht="27.75" customHeight="1" x14ac:dyDescent="0.35">
      <c r="B115" s="68" t="s">
        <v>2</v>
      </c>
      <c r="C115" s="38" t="s">
        <v>36</v>
      </c>
      <c r="D115" s="38" t="s">
        <v>37</v>
      </c>
    </row>
    <row r="116" spans="2:6" x14ac:dyDescent="0.35">
      <c r="B116" s="41" t="s">
        <v>186</v>
      </c>
      <c r="C116" s="43">
        <f>C36</f>
        <v>-1877.9870000000001</v>
      </c>
      <c r="D116" s="43">
        <f>D36</f>
        <v>-400</v>
      </c>
    </row>
    <row r="117" spans="2:6" x14ac:dyDescent="0.35">
      <c r="B117" s="50" t="s">
        <v>187</v>
      </c>
      <c r="C117" s="70">
        <f>C19</f>
        <v>10000</v>
      </c>
      <c r="D117" s="70">
        <f>E19</f>
        <v>10000</v>
      </c>
    </row>
    <row r="118" spans="2:6" x14ac:dyDescent="0.35">
      <c r="B118" s="50" t="s">
        <v>188</v>
      </c>
      <c r="C118" s="70">
        <f>C117</f>
        <v>10000</v>
      </c>
      <c r="D118" s="70">
        <f>D117</f>
        <v>10000</v>
      </c>
    </row>
    <row r="119" spans="2:6" x14ac:dyDescent="0.35">
      <c r="B119" s="50" t="s">
        <v>189</v>
      </c>
      <c r="C119" s="50">
        <v>10</v>
      </c>
      <c r="D119" s="50">
        <v>10</v>
      </c>
    </row>
    <row r="120" spans="2:6" x14ac:dyDescent="0.35">
      <c r="B120" s="51" t="s">
        <v>190</v>
      </c>
      <c r="C120" s="76">
        <f>ROUND(C116*100/C118,2)</f>
        <v>-18.78</v>
      </c>
      <c r="D120" s="76">
        <f>ROUND(D116*100/D118,2)</f>
        <v>-4</v>
      </c>
    </row>
    <row r="122" spans="2:6" x14ac:dyDescent="0.35">
      <c r="B122" s="51" t="s">
        <v>191</v>
      </c>
    </row>
    <row r="123" spans="2:6" ht="30" customHeight="1" x14ac:dyDescent="0.35">
      <c r="B123" s="71" t="s">
        <v>192</v>
      </c>
      <c r="C123" s="71"/>
      <c r="D123" s="71"/>
      <c r="E123" s="71"/>
    </row>
    <row r="125" spans="2:6" x14ac:dyDescent="0.35">
      <c r="B125" s="51" t="s">
        <v>193</v>
      </c>
      <c r="D125" s="47" t="s">
        <v>1</v>
      </c>
    </row>
    <row r="126" spans="2:6" ht="15" customHeight="1" x14ac:dyDescent="0.35">
      <c r="B126" s="71" t="s">
        <v>194</v>
      </c>
      <c r="C126" s="71"/>
      <c r="D126" s="71"/>
      <c r="E126" s="71"/>
    </row>
    <row r="127" spans="2:6" ht="27.75" customHeight="1" x14ac:dyDescent="0.35">
      <c r="B127" s="38" t="s">
        <v>195</v>
      </c>
      <c r="C127" s="38" t="s">
        <v>196</v>
      </c>
      <c r="D127" s="38" t="s">
        <v>197</v>
      </c>
      <c r="E127" s="38" t="s">
        <v>198</v>
      </c>
      <c r="F127" s="39" t="s">
        <v>199</v>
      </c>
    </row>
    <row r="128" spans="2:6" x14ac:dyDescent="0.35">
      <c r="B128" s="50" t="s">
        <v>200</v>
      </c>
      <c r="C128" s="43">
        <f>-SUMIF(TB!$A:$A,"Loan from Director Manshu*",TB!$H:$H)/100</f>
        <v>3000</v>
      </c>
      <c r="D128" s="43">
        <f>-SUMIF(TB!$A:$A,"Loan from Director Lokesh*",TB!$H:$H)/100</f>
        <v>3000</v>
      </c>
      <c r="E128" s="43">
        <v>0</v>
      </c>
      <c r="F128" s="44">
        <v>0</v>
      </c>
    </row>
    <row r="129" spans="2:6" x14ac:dyDescent="0.35">
      <c r="B129" s="50" t="s">
        <v>201</v>
      </c>
      <c r="C129" s="43">
        <f>-SUMIF(TB!$A:$A,"Loan from Director Manshu*",TB!$H:$H)/100</f>
        <v>3000</v>
      </c>
      <c r="D129" s="43">
        <f>-SUMIF(TB!$A:$A,"Loan from Director Lokesh*",TB!$H:$H)/100</f>
        <v>3000</v>
      </c>
      <c r="E129" s="43">
        <f>-SUMIF(TB!$A:$A,"Loan from Director Manshu*",TB!$I:$I)/100</f>
        <v>0</v>
      </c>
      <c r="F129" s="44">
        <f>-SUMIF(TB!$A:$A,"Loan from Director Lokesh*",TB!$I:$I)/100</f>
        <v>0</v>
      </c>
    </row>
    <row r="130" spans="2:6" ht="15" customHeight="1" x14ac:dyDescent="0.35">
      <c r="B130" s="66" t="s">
        <v>202</v>
      </c>
      <c r="C130" s="66"/>
      <c r="D130" s="66"/>
      <c r="E130" s="66"/>
    </row>
    <row r="132" spans="2:6" x14ac:dyDescent="0.35">
      <c r="B132" s="51" t="s">
        <v>203</v>
      </c>
    </row>
    <row r="134" spans="2:6" x14ac:dyDescent="0.35">
      <c r="B134" s="51" t="s">
        <v>204</v>
      </c>
    </row>
    <row r="135" spans="2:6" ht="15" customHeight="1" x14ac:dyDescent="0.35">
      <c r="B135" s="71" t="s">
        <v>205</v>
      </c>
      <c r="C135" s="71"/>
      <c r="D135" s="71"/>
      <c r="E135" s="71"/>
    </row>
    <row r="136" spans="2:6" ht="15" customHeight="1" x14ac:dyDescent="0.35">
      <c r="B136" s="71" t="s">
        <v>206</v>
      </c>
      <c r="C136" s="71"/>
      <c r="D136" s="71"/>
      <c r="E136" s="71"/>
    </row>
    <row r="137" spans="2:6" ht="30" customHeight="1" x14ac:dyDescent="0.35">
      <c r="B137" s="71" t="s">
        <v>207</v>
      </c>
      <c r="C137" s="71"/>
      <c r="D137" s="71"/>
      <c r="E137" s="71"/>
    </row>
    <row r="138" spans="2:6" ht="15" customHeight="1" x14ac:dyDescent="0.35">
      <c r="B138" s="71" t="s">
        <v>208</v>
      </c>
      <c r="C138" s="71"/>
      <c r="D138" s="71"/>
      <c r="E138" s="71"/>
    </row>
    <row r="139" spans="2:6" ht="30" customHeight="1" x14ac:dyDescent="0.35">
      <c r="B139" s="71" t="s">
        <v>209</v>
      </c>
      <c r="C139" s="71"/>
      <c r="D139" s="71"/>
      <c r="E139" s="71"/>
    </row>
    <row r="140" spans="2:6" ht="30" customHeight="1" x14ac:dyDescent="0.35">
      <c r="B140" s="71" t="s">
        <v>210</v>
      </c>
      <c r="C140" s="71"/>
      <c r="D140" s="71"/>
      <c r="E140" s="71"/>
    </row>
    <row r="141" spans="2:6" ht="30" customHeight="1" x14ac:dyDescent="0.35">
      <c r="B141" s="71" t="s">
        <v>211</v>
      </c>
      <c r="C141" s="71"/>
      <c r="D141" s="71"/>
      <c r="E141" s="71"/>
    </row>
    <row r="142" spans="2:6" ht="30" customHeight="1" x14ac:dyDescent="0.35">
      <c r="B142" s="71" t="s">
        <v>212</v>
      </c>
      <c r="C142" s="71"/>
      <c r="D142" s="71"/>
      <c r="E142" s="71"/>
    </row>
    <row r="143" spans="2:6" ht="30" customHeight="1" x14ac:dyDescent="0.35">
      <c r="B143" s="71" t="s">
        <v>213</v>
      </c>
      <c r="C143" s="71"/>
      <c r="D143" s="71"/>
      <c r="E143" s="71"/>
    </row>
    <row r="144" spans="2:6" ht="15" customHeight="1" x14ac:dyDescent="0.35">
      <c r="B144" s="71" t="s">
        <v>214</v>
      </c>
      <c r="C144" s="71"/>
      <c r="D144" s="71"/>
      <c r="E144" s="71"/>
    </row>
    <row r="145" spans="2:5" ht="30" customHeight="1" x14ac:dyDescent="0.35">
      <c r="B145" s="71" t="s">
        <v>215</v>
      </c>
      <c r="C145" s="71"/>
      <c r="D145" s="71"/>
      <c r="E145" s="71"/>
    </row>
    <row r="146" spans="2:5" ht="45" customHeight="1" x14ac:dyDescent="0.35">
      <c r="B146" s="71" t="s">
        <v>216</v>
      </c>
      <c r="C146" s="71"/>
      <c r="D146" s="71"/>
      <c r="E146" s="71"/>
    </row>
    <row r="147" spans="2:5" ht="30" customHeight="1" x14ac:dyDescent="0.35">
      <c r="B147" s="71" t="s">
        <v>217</v>
      </c>
      <c r="C147" s="71"/>
      <c r="D147" s="71"/>
      <c r="E147" s="71"/>
    </row>
    <row r="148" spans="2:5" ht="15" customHeight="1" x14ac:dyDescent="0.35">
      <c r="B148" s="71" t="s">
        <v>218</v>
      </c>
      <c r="C148" s="71"/>
      <c r="D148" s="71"/>
      <c r="E148" s="71"/>
    </row>
    <row r="149" spans="2:5" ht="30" customHeight="1" x14ac:dyDescent="0.35">
      <c r="B149" s="71" t="s">
        <v>219</v>
      </c>
      <c r="C149" s="71"/>
      <c r="D149" s="71"/>
      <c r="E149" s="71"/>
    </row>
    <row r="150" spans="2:5" ht="30" customHeight="1" x14ac:dyDescent="0.35">
      <c r="B150" s="71" t="s">
        <v>220</v>
      </c>
      <c r="C150" s="71"/>
      <c r="D150" s="71"/>
      <c r="E150" s="71"/>
    </row>
    <row r="152" spans="2:5" x14ac:dyDescent="0.35">
      <c r="B152" s="51" t="s">
        <v>221</v>
      </c>
    </row>
    <row r="153" spans="2:5" ht="75" customHeight="1" x14ac:dyDescent="0.35">
      <c r="B153" s="71" t="s">
        <v>222</v>
      </c>
      <c r="C153" s="71"/>
      <c r="D153" s="71"/>
      <c r="E153" s="71"/>
    </row>
    <row r="154" spans="2:5" ht="45" customHeight="1" x14ac:dyDescent="0.35">
      <c r="B154" s="71" t="s">
        <v>223</v>
      </c>
      <c r="C154" s="71"/>
      <c r="D154" s="71"/>
      <c r="E154" s="71"/>
    </row>
    <row r="155" spans="2:5" ht="45" customHeight="1" x14ac:dyDescent="0.35">
      <c r="B155" s="71" t="s">
        <v>224</v>
      </c>
      <c r="C155" s="71"/>
      <c r="D155" s="71"/>
      <c r="E155" s="71"/>
    </row>
    <row r="156" spans="2:5" ht="15" customHeight="1" x14ac:dyDescent="0.35">
      <c r="B156" s="71" t="s">
        <v>225</v>
      </c>
      <c r="C156" s="71"/>
      <c r="D156" s="71"/>
      <c r="E156" s="71"/>
    </row>
    <row r="157" spans="2:5" ht="45" customHeight="1" x14ac:dyDescent="0.35">
      <c r="B157" s="71" t="s">
        <v>226</v>
      </c>
      <c r="C157" s="71"/>
      <c r="D157" s="71"/>
      <c r="E157" s="71"/>
    </row>
    <row r="158" spans="2:5" ht="30" customHeight="1" x14ac:dyDescent="0.35">
      <c r="B158" s="71" t="s">
        <v>227</v>
      </c>
      <c r="C158" s="71"/>
      <c r="D158" s="71"/>
      <c r="E158" s="71"/>
    </row>
    <row r="159" spans="2:5" ht="30" customHeight="1" x14ac:dyDescent="0.35">
      <c r="B159" s="71" t="s">
        <v>228</v>
      </c>
      <c r="C159" s="71"/>
      <c r="D159" s="71"/>
      <c r="E159" s="71"/>
    </row>
    <row r="160" spans="2:5" ht="30" customHeight="1" x14ac:dyDescent="0.35">
      <c r="B160" s="71" t="s">
        <v>229</v>
      </c>
      <c r="C160" s="71"/>
      <c r="D160" s="71"/>
      <c r="E160" s="71"/>
    </row>
    <row r="162" spans="2:5" x14ac:dyDescent="0.35">
      <c r="B162" s="50" t="s">
        <v>30</v>
      </c>
    </row>
    <row r="164" spans="2:5" x14ac:dyDescent="0.35">
      <c r="B164" s="50" t="s">
        <v>31</v>
      </c>
      <c r="C164" s="50" t="s">
        <v>32</v>
      </c>
    </row>
    <row r="165" spans="2:5" x14ac:dyDescent="0.35">
      <c r="B165" s="51" t="str">
        <f>Inputs!$B$8</f>
        <v>G R B &amp; CO</v>
      </c>
    </row>
    <row r="166" spans="2:5" x14ac:dyDescent="0.35">
      <c r="B166" s="50" t="s">
        <v>33</v>
      </c>
    </row>
    <row r="167" spans="2:5" x14ac:dyDescent="0.35">
      <c r="B167" s="50" t="str">
        <f>"FRN No. "&amp;Inputs!$B$9</f>
        <v>FRN No. 040755N</v>
      </c>
    </row>
    <row r="174" spans="2:5" x14ac:dyDescent="0.35">
      <c r="B174" s="51" t="str">
        <f>Inputs!$B$10</f>
        <v>Roopali Garg</v>
      </c>
      <c r="C174" s="51" t="str">
        <f>Inputs!$B$13</f>
        <v>MANSHU NARANG</v>
      </c>
      <c r="E174" s="51" t="str">
        <f>Inputs!$B$15</f>
        <v>LOKESH NARANG</v>
      </c>
    </row>
    <row r="175" spans="2:5" x14ac:dyDescent="0.35">
      <c r="B175" s="50" t="str">
        <f>"Proprietor  M.No. "&amp;Inputs!$B$11</f>
        <v>Proprietor  M.No. 570376</v>
      </c>
      <c r="C175" s="50" t="s">
        <v>34</v>
      </c>
      <c r="E175" s="50" t="s">
        <v>34</v>
      </c>
    </row>
    <row r="176" spans="2:5" x14ac:dyDescent="0.35">
      <c r="B176" s="50" t="str">
        <f>"UDIN: "&amp;Inputs!$B$12</f>
        <v xml:space="preserve">UDIN: </v>
      </c>
      <c r="C176" s="50" t="str">
        <f>"DIN: "&amp;Inputs!$B$14</f>
        <v>DIN: 10368816</v>
      </c>
      <c r="E176" s="50" t="str">
        <f>"DIN: "&amp;Inputs!$B$16</f>
        <v>DIN: 10368815</v>
      </c>
    </row>
    <row r="177" spans="2:2" x14ac:dyDescent="0.35">
      <c r="B177" s="50" t="str">
        <f>"Place : "&amp;Inputs!$B$17</f>
        <v>Place : New Delhi</v>
      </c>
    </row>
    <row r="178" spans="2:2" x14ac:dyDescent="0.35">
      <c r="B178" s="50" t="str">
        <f>"Date  : "&amp;Inputs!$B$18</f>
        <v>Date  : 15th Sep, 2026</v>
      </c>
    </row>
  </sheetData>
  <mergeCells count="36">
    <mergeCell ref="B160:E160"/>
    <mergeCell ref="B155:E155"/>
    <mergeCell ref="B156:E156"/>
    <mergeCell ref="B157:E157"/>
    <mergeCell ref="B158:E158"/>
    <mergeCell ref="B159:E159"/>
    <mergeCell ref="B148:E148"/>
    <mergeCell ref="B149:E149"/>
    <mergeCell ref="B150:E150"/>
    <mergeCell ref="B153:E153"/>
    <mergeCell ref="B154:E154"/>
    <mergeCell ref="B143:E143"/>
    <mergeCell ref="B144:E144"/>
    <mergeCell ref="B145:E145"/>
    <mergeCell ref="B146:E146"/>
    <mergeCell ref="B147:E147"/>
    <mergeCell ref="B138:E138"/>
    <mergeCell ref="B139:E139"/>
    <mergeCell ref="B140:E140"/>
    <mergeCell ref="B141:E141"/>
    <mergeCell ref="B142:E142"/>
    <mergeCell ref="B126:E126"/>
    <mergeCell ref="B130:E130"/>
    <mergeCell ref="B135:E135"/>
    <mergeCell ref="B136:E136"/>
    <mergeCell ref="B137:E137"/>
    <mergeCell ref="B46:E46"/>
    <mergeCell ref="B54:E54"/>
    <mergeCell ref="B62:E62"/>
    <mergeCell ref="B75:E75"/>
    <mergeCell ref="B123:E123"/>
    <mergeCell ref="B12:E12"/>
    <mergeCell ref="B22:E22"/>
    <mergeCell ref="B29:E29"/>
    <mergeCell ref="B30:E30"/>
    <mergeCell ref="B45:E45"/>
  </mergeCells>
  <pageMargins left="0.75" right="0.75" top="1" bottom="1" header="0.511811023622047" footer="0.511811023622047"/>
  <pageSetup paperSize="9" scale="60" fitToHeight="0" orientation="portrait" horizontalDpi="300" verticalDpi="300" r:id="rId1"/>
  <rowBreaks count="1" manualBreakCount="1">
    <brk id="13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M15"/>
  <sheetViews>
    <sheetView showGridLines="0" view="pageBreakPreview" zoomScale="70" zoomScaleNormal="100" zoomScaleSheetLayoutView="70" workbookViewId="0"/>
  </sheetViews>
  <sheetFormatPr defaultColWidth="8.6328125" defaultRowHeight="14.5" x14ac:dyDescent="0.35"/>
  <cols>
    <col min="1" max="1" width="3" customWidth="1"/>
    <col min="2" max="2" width="30" customWidth="1"/>
    <col min="3" max="4" width="34" customWidth="1"/>
    <col min="5" max="6" width="14" customWidth="1"/>
    <col min="7" max="7" width="12" customWidth="1"/>
    <col min="8" max="8" width="50" customWidth="1"/>
    <col min="10" max="10" width="32" customWidth="1"/>
    <col min="11" max="11" width="12.54296875" bestFit="1" customWidth="1"/>
    <col min="12" max="12" width="9.1796875" bestFit="1" customWidth="1"/>
    <col min="13" max="13" width="8.7265625" bestFit="1" customWidth="1"/>
  </cols>
  <sheetData>
    <row r="1" spans="2:13" ht="15.5" x14ac:dyDescent="0.35">
      <c r="B1" s="12" t="str">
        <f>Inputs!$B$4</f>
        <v>HEMRAJ NARANG AND SONS PRIVATE LIMITED</v>
      </c>
    </row>
    <row r="2" spans="2:13" x14ac:dyDescent="0.35">
      <c r="B2" s="7" t="s">
        <v>230</v>
      </c>
    </row>
    <row r="4" spans="2:13" x14ac:dyDescent="0.35">
      <c r="B4" s="2" t="s">
        <v>231</v>
      </c>
      <c r="C4" s="2" t="s">
        <v>232</v>
      </c>
      <c r="D4" s="2" t="s">
        <v>233</v>
      </c>
      <c r="E4" s="2" t="s">
        <v>234</v>
      </c>
      <c r="F4" s="2" t="s">
        <v>235</v>
      </c>
      <c r="G4" s="2" t="s">
        <v>236</v>
      </c>
      <c r="H4" s="2" t="s">
        <v>237</v>
      </c>
      <c r="J4" s="7" t="s">
        <v>238</v>
      </c>
      <c r="K4" s="7" t="s">
        <v>234</v>
      </c>
      <c r="L4" s="7" t="s">
        <v>235</v>
      </c>
      <c r="M4" s="7" t="s">
        <v>239</v>
      </c>
    </row>
    <row r="5" spans="2:13" ht="30" customHeight="1" x14ac:dyDescent="0.35">
      <c r="B5" s="14" t="s">
        <v>240</v>
      </c>
      <c r="C5" s="14" t="s">
        <v>241</v>
      </c>
      <c r="D5" s="14" t="s">
        <v>242</v>
      </c>
      <c r="E5" s="19">
        <f>IFERROR(K5/K6,"N.A.")</f>
        <v>0.49740260869565223</v>
      </c>
      <c r="F5" s="19">
        <f>IFERROR(L5/L6,"N.A.")</f>
        <v>1.25</v>
      </c>
      <c r="G5" s="20">
        <f t="shared" ref="G5:G15" si="0">IF(AND(ISNUMBER(E5),ISNUMBER(F5),F5&lt;&gt;0),(E5-F5)/ABS(F5),"N.A.")</f>
        <v>-0.60207791304347824</v>
      </c>
      <c r="H5" s="11" t="s">
        <v>243</v>
      </c>
      <c r="J5" s="6" t="s">
        <v>241</v>
      </c>
      <c r="K5" s="18">
        <f>'Balance Sheet'!D33</f>
        <v>572.01300000000003</v>
      </c>
      <c r="L5" s="18">
        <f>'Balance Sheet'!E33</f>
        <v>500</v>
      </c>
      <c r="M5" s="9">
        <f>500+200</f>
        <v>700</v>
      </c>
    </row>
    <row r="6" spans="2:13" ht="30" customHeight="1" x14ac:dyDescent="0.35">
      <c r="B6" s="14" t="s">
        <v>244</v>
      </c>
      <c r="C6" s="14" t="s">
        <v>245</v>
      </c>
      <c r="D6" s="14" t="s">
        <v>246</v>
      </c>
      <c r="E6" s="19" t="str">
        <f>IF(K7&lt;=0,"Not meaningful",K8/K7)</f>
        <v>Not meaningful</v>
      </c>
      <c r="F6" s="19">
        <f>IF(L7&lt;=0,"Not meaningful",L8/L7)</f>
        <v>0</v>
      </c>
      <c r="G6" s="20" t="str">
        <f t="shared" si="0"/>
        <v>N.A.</v>
      </c>
      <c r="H6" s="11" t="s">
        <v>247</v>
      </c>
      <c r="J6" s="6" t="s">
        <v>242</v>
      </c>
      <c r="K6" s="18">
        <f>'Balance Sheet'!D24</f>
        <v>1150</v>
      </c>
      <c r="L6" s="18">
        <f>'Balance Sheet'!E24</f>
        <v>400</v>
      </c>
      <c r="M6" s="9">
        <f>200</f>
        <v>200</v>
      </c>
    </row>
    <row r="7" spans="2:13" ht="30" customHeight="1" x14ac:dyDescent="0.35">
      <c r="B7" s="14" t="s">
        <v>248</v>
      </c>
      <c r="C7" s="14" t="s">
        <v>249</v>
      </c>
      <c r="D7" s="14" t="s">
        <v>250</v>
      </c>
      <c r="E7" s="19" t="s">
        <v>251</v>
      </c>
      <c r="F7" s="19" t="s">
        <v>251</v>
      </c>
      <c r="G7" s="20" t="str">
        <f t="shared" si="0"/>
        <v>N.A.</v>
      </c>
      <c r="H7" s="11" t="s">
        <v>252</v>
      </c>
      <c r="J7" s="6" t="s">
        <v>246</v>
      </c>
      <c r="K7" s="18">
        <f>'Balance Sheet'!D14</f>
        <v>-1777.9870000000001</v>
      </c>
      <c r="L7" s="18">
        <f>'Balance Sheet'!E14</f>
        <v>100</v>
      </c>
      <c r="M7" s="9">
        <f>500</f>
        <v>500</v>
      </c>
    </row>
    <row r="8" spans="2:13" ht="30" customHeight="1" x14ac:dyDescent="0.35">
      <c r="B8" s="14" t="s">
        <v>253</v>
      </c>
      <c r="C8" s="14" t="s">
        <v>254</v>
      </c>
      <c r="D8" s="14" t="s">
        <v>255</v>
      </c>
      <c r="E8" s="20" t="str">
        <f>IF((K7+L7)/2&lt;=0,"Not meaningful",K10/((K7+L7)/2))</f>
        <v>Not meaningful</v>
      </c>
      <c r="F8" s="20">
        <f>IF((L7+M7)/2&lt;=0,"Not meaningful",L10/((L7+M7)/2))</f>
        <v>-1.3333333333333333</v>
      </c>
      <c r="G8" s="20" t="str">
        <f t="shared" si="0"/>
        <v>N.A.</v>
      </c>
      <c r="H8" s="11" t="s">
        <v>256</v>
      </c>
      <c r="J8" s="6" t="s">
        <v>245</v>
      </c>
      <c r="K8" s="18">
        <f>'Balance Sheet'!D16</f>
        <v>6000</v>
      </c>
      <c r="L8" s="18">
        <f>'Balance Sheet'!E16</f>
        <v>0</v>
      </c>
      <c r="M8" s="9">
        <f>0</f>
        <v>0</v>
      </c>
    </row>
    <row r="9" spans="2:13" ht="30" customHeight="1" x14ac:dyDescent="0.35">
      <c r="B9" s="14" t="s">
        <v>257</v>
      </c>
      <c r="C9" s="14" t="s">
        <v>258</v>
      </c>
      <c r="D9" s="14" t="s">
        <v>259</v>
      </c>
      <c r="E9" s="19" t="s">
        <v>251</v>
      </c>
      <c r="F9" s="19" t="s">
        <v>251</v>
      </c>
      <c r="G9" s="20" t="str">
        <f t="shared" si="0"/>
        <v>N.A.</v>
      </c>
      <c r="H9" s="11" t="s">
        <v>260</v>
      </c>
      <c r="J9" s="6" t="s">
        <v>261</v>
      </c>
      <c r="K9" s="18">
        <f>'Profit and Loss'!D11</f>
        <v>0</v>
      </c>
      <c r="L9" s="18">
        <f>'Profit and Loss'!E11</f>
        <v>0</v>
      </c>
    </row>
    <row r="10" spans="2:13" ht="30" customHeight="1" x14ac:dyDescent="0.35">
      <c r="B10" s="14" t="s">
        <v>262</v>
      </c>
      <c r="C10" s="14" t="s">
        <v>261</v>
      </c>
      <c r="D10" s="14" t="s">
        <v>263</v>
      </c>
      <c r="E10" s="19" t="s">
        <v>251</v>
      </c>
      <c r="F10" s="19" t="s">
        <v>251</v>
      </c>
      <c r="G10" s="20" t="str">
        <f t="shared" si="0"/>
        <v>N.A.</v>
      </c>
      <c r="H10" s="11" t="s">
        <v>264</v>
      </c>
      <c r="J10" s="6" t="s">
        <v>254</v>
      </c>
      <c r="K10" s="18">
        <f>'Profit and Loss'!D29</f>
        <v>-1877.9870000000001</v>
      </c>
      <c r="L10" s="18">
        <f>'Profit and Loss'!E29</f>
        <v>-400</v>
      </c>
    </row>
    <row r="11" spans="2:13" ht="30" customHeight="1" x14ac:dyDescent="0.35">
      <c r="B11" s="14" t="s">
        <v>265</v>
      </c>
      <c r="C11" s="14" t="s">
        <v>266</v>
      </c>
      <c r="D11" s="14" t="s">
        <v>267</v>
      </c>
      <c r="E11" s="19" t="s">
        <v>251</v>
      </c>
      <c r="F11" s="19" t="s">
        <v>251</v>
      </c>
      <c r="G11" s="20" t="str">
        <f t="shared" si="0"/>
        <v>N.A.</v>
      </c>
      <c r="H11" s="11" t="s">
        <v>268</v>
      </c>
      <c r="J11" s="6" t="s">
        <v>269</v>
      </c>
      <c r="K11" s="18">
        <f>'Profit and Loss'!D22+'Profit and Loss'!D17</f>
        <v>-1877.9870000000001</v>
      </c>
      <c r="L11" s="18">
        <f>'Profit and Loss'!E22+'Profit and Loss'!E17</f>
        <v>-400</v>
      </c>
    </row>
    <row r="12" spans="2:13" ht="30" customHeight="1" x14ac:dyDescent="0.35">
      <c r="B12" s="14" t="s">
        <v>270</v>
      </c>
      <c r="C12" s="14" t="s">
        <v>261</v>
      </c>
      <c r="D12" s="14" t="s">
        <v>271</v>
      </c>
      <c r="E12" s="19" t="s">
        <v>251</v>
      </c>
      <c r="F12" s="19" t="s">
        <v>251</v>
      </c>
      <c r="G12" s="20" t="str">
        <f t="shared" si="0"/>
        <v>N.A.</v>
      </c>
      <c r="H12" s="11" t="s">
        <v>272</v>
      </c>
      <c r="J12" s="6" t="s">
        <v>273</v>
      </c>
      <c r="K12" s="18">
        <f>K7+K8</f>
        <v>4222.0129999999999</v>
      </c>
      <c r="L12" s="18">
        <f>L7+L8</f>
        <v>100</v>
      </c>
    </row>
    <row r="13" spans="2:13" ht="30" customHeight="1" x14ac:dyDescent="0.35">
      <c r="B13" s="14" t="s">
        <v>274</v>
      </c>
      <c r="C13" s="14" t="s">
        <v>254</v>
      </c>
      <c r="D13" s="14" t="s">
        <v>261</v>
      </c>
      <c r="E13" s="20" t="s">
        <v>251</v>
      </c>
      <c r="F13" s="20" t="s">
        <v>251</v>
      </c>
      <c r="G13" s="20" t="str">
        <f t="shared" si="0"/>
        <v>N.A.</v>
      </c>
      <c r="H13" s="11" t="s">
        <v>272</v>
      </c>
    </row>
    <row r="14" spans="2:13" ht="30" customHeight="1" x14ac:dyDescent="0.35">
      <c r="B14" s="14" t="s">
        <v>275</v>
      </c>
      <c r="C14" s="14" t="s">
        <v>276</v>
      </c>
      <c r="D14" s="14" t="s">
        <v>277</v>
      </c>
      <c r="E14" s="20">
        <f>IF(K12&lt;=0,"Not meaningful",K11/K12)</f>
        <v>-0.44480843616540267</v>
      </c>
      <c r="F14" s="20">
        <f>IF(L12&lt;=0,"Not meaningful",L11/L12)</f>
        <v>-4</v>
      </c>
      <c r="G14" s="20">
        <f t="shared" si="0"/>
        <v>0.88879789095864936</v>
      </c>
      <c r="H14" s="11" t="s">
        <v>278</v>
      </c>
    </row>
    <row r="15" spans="2:13" ht="30" customHeight="1" x14ac:dyDescent="0.35">
      <c r="B15" s="14" t="s">
        <v>279</v>
      </c>
      <c r="C15" s="14" t="s">
        <v>280</v>
      </c>
      <c r="D15" s="14" t="s">
        <v>281</v>
      </c>
      <c r="E15" s="20" t="s">
        <v>251</v>
      </c>
      <c r="F15" s="20" t="s">
        <v>251</v>
      </c>
      <c r="G15" s="20" t="str">
        <f t="shared" si="0"/>
        <v>N.A.</v>
      </c>
      <c r="H15" s="11" t="s">
        <v>282</v>
      </c>
    </row>
  </sheetData>
  <pageMargins left="0.75" right="0.75" top="1" bottom="1" header="0.511811023622047" footer="0.511811023622047"/>
  <pageSetup paperSize="9" scale="31"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24"/>
  <sheetViews>
    <sheetView showGridLines="0" view="pageBreakPreview" zoomScale="80" zoomScaleNormal="100" zoomScaleSheetLayoutView="80" workbookViewId="0">
      <selection activeCell="H13" sqref="H13"/>
    </sheetView>
  </sheetViews>
  <sheetFormatPr defaultColWidth="8.6328125" defaultRowHeight="14.5" x14ac:dyDescent="0.35"/>
  <cols>
    <col min="1" max="1" width="40" customWidth="1"/>
    <col min="2" max="2" width="28" customWidth="1"/>
    <col min="3" max="3" width="12" customWidth="1"/>
    <col min="4" max="5" width="15" customWidth="1"/>
    <col min="6" max="7" width="15" hidden="1" customWidth="1"/>
    <col min="8" max="9" width="15" customWidth="1"/>
    <col min="10" max="10" width="50" customWidth="1"/>
  </cols>
  <sheetData>
    <row r="1" spans="1:10" ht="15.5" x14ac:dyDescent="0.35">
      <c r="A1" s="12" t="s">
        <v>283</v>
      </c>
    </row>
    <row r="2" spans="1:10" x14ac:dyDescent="0.35">
      <c r="A2" s="1" t="s">
        <v>284</v>
      </c>
    </row>
    <row r="4" spans="1:10" ht="27" x14ac:dyDescent="0.35">
      <c r="A4" s="2" t="s">
        <v>285</v>
      </c>
      <c r="B4" s="2" t="s">
        <v>286</v>
      </c>
      <c r="C4" s="2" t="s">
        <v>287</v>
      </c>
      <c r="D4" s="2" t="s">
        <v>288</v>
      </c>
      <c r="E4" s="2" t="s">
        <v>289</v>
      </c>
      <c r="F4" s="2" t="s">
        <v>290</v>
      </c>
      <c r="G4" s="2" t="s">
        <v>291</v>
      </c>
      <c r="H4" s="2" t="s">
        <v>292</v>
      </c>
      <c r="I4" s="2" t="s">
        <v>293</v>
      </c>
      <c r="J4" s="2" t="s">
        <v>294</v>
      </c>
    </row>
    <row r="5" spans="1:10" x14ac:dyDescent="0.35">
      <c r="A5" s="6" t="s">
        <v>295</v>
      </c>
      <c r="B5" s="6" t="s">
        <v>296</v>
      </c>
      <c r="C5" s="6" t="s">
        <v>297</v>
      </c>
      <c r="D5" s="9">
        <v>0</v>
      </c>
      <c r="E5" s="9">
        <v>50000</v>
      </c>
      <c r="F5" s="9">
        <v>0</v>
      </c>
      <c r="G5" s="9">
        <v>50000</v>
      </c>
      <c r="H5" s="3">
        <f t="shared" ref="H5:H21" si="0">D5-E5</f>
        <v>-50000</v>
      </c>
      <c r="I5" s="3">
        <f t="shared" ref="I5:I21" si="1">F5-G5</f>
        <v>-50000</v>
      </c>
      <c r="J5" s="10"/>
    </row>
    <row r="6" spans="1:10" x14ac:dyDescent="0.35">
      <c r="A6" s="6" t="s">
        <v>298</v>
      </c>
      <c r="B6" s="6" t="s">
        <v>296</v>
      </c>
      <c r="C6" s="6" t="s">
        <v>297</v>
      </c>
      <c r="D6" s="9">
        <v>0</v>
      </c>
      <c r="E6" s="9">
        <v>50000</v>
      </c>
      <c r="F6" s="9">
        <v>0</v>
      </c>
      <c r="G6" s="9">
        <v>50000</v>
      </c>
      <c r="H6" s="3">
        <f t="shared" si="0"/>
        <v>-50000</v>
      </c>
      <c r="I6" s="3">
        <f t="shared" si="1"/>
        <v>-50000</v>
      </c>
      <c r="J6" s="10" t="s">
        <v>299</v>
      </c>
    </row>
    <row r="7" spans="1:10" x14ac:dyDescent="0.35">
      <c r="A7" s="6" t="s">
        <v>300</v>
      </c>
      <c r="B7" s="6" t="s">
        <v>301</v>
      </c>
      <c r="C7" s="6" t="s">
        <v>302</v>
      </c>
      <c r="D7" s="9">
        <v>0</v>
      </c>
      <c r="E7" s="9">
        <v>300000</v>
      </c>
      <c r="F7" s="9">
        <v>0</v>
      </c>
      <c r="G7" s="9">
        <v>0</v>
      </c>
      <c r="H7" s="3">
        <f t="shared" si="0"/>
        <v>-300000</v>
      </c>
      <c r="I7" s="3">
        <f t="shared" si="1"/>
        <v>0</v>
      </c>
      <c r="J7" s="10" t="s">
        <v>303</v>
      </c>
    </row>
    <row r="8" spans="1:10" x14ac:dyDescent="0.35">
      <c r="A8" s="6" t="s">
        <v>304</v>
      </c>
      <c r="B8" s="6" t="s">
        <v>301</v>
      </c>
      <c r="C8" s="6" t="s">
        <v>302</v>
      </c>
      <c r="D8" s="9">
        <v>0</v>
      </c>
      <c r="E8" s="9">
        <v>300000</v>
      </c>
      <c r="F8" s="9">
        <v>0</v>
      </c>
      <c r="G8" s="9">
        <v>0</v>
      </c>
      <c r="H8" s="3">
        <f t="shared" si="0"/>
        <v>-300000</v>
      </c>
      <c r="I8" s="3">
        <f t="shared" si="1"/>
        <v>0</v>
      </c>
      <c r="J8" s="10"/>
    </row>
    <row r="9" spans="1:10" x14ac:dyDescent="0.35">
      <c r="A9" s="6" t="s">
        <v>305</v>
      </c>
      <c r="B9" s="6" t="s">
        <v>306</v>
      </c>
      <c r="C9" s="6" t="s">
        <v>307</v>
      </c>
      <c r="D9" s="9">
        <v>0</v>
      </c>
      <c r="E9" s="9">
        <v>0</v>
      </c>
      <c r="F9" s="9">
        <v>0</v>
      </c>
      <c r="G9" s="9">
        <v>0</v>
      </c>
      <c r="H9" s="3">
        <f t="shared" si="0"/>
        <v>0</v>
      </c>
      <c r="I9" s="3">
        <f t="shared" si="1"/>
        <v>0</v>
      </c>
      <c r="J9" s="10" t="s">
        <v>308</v>
      </c>
    </row>
    <row r="10" spans="1:10" x14ac:dyDescent="0.35">
      <c r="A10" s="6" t="s">
        <v>309</v>
      </c>
      <c r="B10" s="6" t="s">
        <v>310</v>
      </c>
      <c r="C10" s="6" t="s">
        <v>311</v>
      </c>
      <c r="D10" s="9">
        <v>0</v>
      </c>
      <c r="E10" s="9">
        <v>50000</v>
      </c>
      <c r="F10" s="9">
        <v>0</v>
      </c>
      <c r="G10" s="9">
        <v>20000</v>
      </c>
      <c r="H10" s="3">
        <f t="shared" si="0"/>
        <v>-50000</v>
      </c>
      <c r="I10" s="3">
        <f t="shared" si="1"/>
        <v>-20000</v>
      </c>
      <c r="J10" s="10"/>
    </row>
    <row r="11" spans="1:10" ht="24" x14ac:dyDescent="0.35">
      <c r="A11" s="6" t="s">
        <v>312</v>
      </c>
      <c r="B11" s="6" t="s">
        <v>310</v>
      </c>
      <c r="C11" s="6" t="s">
        <v>313</v>
      </c>
      <c r="D11" s="9">
        <v>0</v>
      </c>
      <c r="E11" s="9">
        <v>65000</v>
      </c>
      <c r="F11" s="9">
        <v>0</v>
      </c>
      <c r="G11" s="9">
        <v>20000</v>
      </c>
      <c r="H11" s="3">
        <f t="shared" si="0"/>
        <v>-65000</v>
      </c>
      <c r="I11" s="3">
        <f t="shared" si="1"/>
        <v>-20000</v>
      </c>
      <c r="J11" s="10" t="s">
        <v>314</v>
      </c>
    </row>
    <row r="12" spans="1:10" x14ac:dyDescent="0.35">
      <c r="A12" s="6" t="s">
        <v>315</v>
      </c>
      <c r="B12" s="6" t="s">
        <v>316</v>
      </c>
      <c r="C12" s="6" t="s">
        <v>317</v>
      </c>
      <c r="D12" s="9">
        <v>480000</v>
      </c>
      <c r="E12" s="9">
        <v>0</v>
      </c>
      <c r="F12" s="9">
        <v>0</v>
      </c>
      <c r="G12" s="9">
        <v>0</v>
      </c>
      <c r="H12" s="3">
        <f t="shared" si="0"/>
        <v>480000</v>
      </c>
      <c r="I12" s="3">
        <f t="shared" si="1"/>
        <v>0</v>
      </c>
      <c r="J12" s="10" t="s">
        <v>318</v>
      </c>
    </row>
    <row r="13" spans="1:10" x14ac:dyDescent="0.35">
      <c r="A13" s="6" t="s">
        <v>319</v>
      </c>
      <c r="B13" s="6" t="s">
        <v>320</v>
      </c>
      <c r="C13" s="6" t="s">
        <v>321</v>
      </c>
      <c r="D13" s="9">
        <v>50000</v>
      </c>
      <c r="E13" s="9">
        <v>0</v>
      </c>
      <c r="F13" s="9">
        <v>50000</v>
      </c>
      <c r="G13" s="9">
        <v>0</v>
      </c>
      <c r="H13" s="3">
        <f t="shared" si="0"/>
        <v>50000</v>
      </c>
      <c r="I13" s="3">
        <f t="shared" si="1"/>
        <v>50000</v>
      </c>
      <c r="J13" s="10"/>
    </row>
    <row r="14" spans="1:10" x14ac:dyDescent="0.35">
      <c r="A14" s="6" t="s">
        <v>322</v>
      </c>
      <c r="B14" s="6" t="s">
        <v>323</v>
      </c>
      <c r="C14" s="6" t="s">
        <v>324</v>
      </c>
      <c r="D14" s="9">
        <v>7201.3</v>
      </c>
      <c r="E14" s="9">
        <v>0</v>
      </c>
      <c r="F14" s="9">
        <v>0</v>
      </c>
      <c r="G14" s="9">
        <v>0</v>
      </c>
      <c r="H14" s="3">
        <f t="shared" si="0"/>
        <v>7201.3</v>
      </c>
      <c r="I14" s="3">
        <f t="shared" si="1"/>
        <v>0</v>
      </c>
      <c r="J14" s="10"/>
    </row>
    <row r="15" spans="1:10" x14ac:dyDescent="0.35">
      <c r="A15" s="6" t="s">
        <v>325</v>
      </c>
      <c r="B15" s="6" t="s">
        <v>326</v>
      </c>
      <c r="C15" s="6" t="s">
        <v>327</v>
      </c>
      <c r="D15" s="9">
        <v>62000</v>
      </c>
      <c r="E15" s="9">
        <v>0</v>
      </c>
      <c r="F15" s="9">
        <v>0</v>
      </c>
      <c r="G15" s="9">
        <v>0</v>
      </c>
      <c r="H15" s="3">
        <f t="shared" si="0"/>
        <v>62000</v>
      </c>
      <c r="I15" s="3">
        <f t="shared" si="1"/>
        <v>0</v>
      </c>
      <c r="J15" s="10"/>
    </row>
    <row r="16" spans="1:10" x14ac:dyDescent="0.35">
      <c r="A16" s="6" t="s">
        <v>328</v>
      </c>
      <c r="B16" s="6" t="s">
        <v>329</v>
      </c>
      <c r="C16" s="6" t="s">
        <v>330</v>
      </c>
      <c r="D16" s="9">
        <v>25000</v>
      </c>
      <c r="E16" s="9">
        <v>0</v>
      </c>
      <c r="F16" s="9">
        <v>10000</v>
      </c>
      <c r="G16" s="9">
        <v>0</v>
      </c>
      <c r="H16" s="3">
        <f t="shared" si="0"/>
        <v>25000</v>
      </c>
      <c r="I16" s="3">
        <f t="shared" si="1"/>
        <v>10000</v>
      </c>
      <c r="J16" s="10"/>
    </row>
    <row r="17" spans="1:10" x14ac:dyDescent="0.35">
      <c r="A17" s="6" t="s">
        <v>331</v>
      </c>
      <c r="B17" s="6" t="s">
        <v>329</v>
      </c>
      <c r="C17" s="6" t="s">
        <v>332</v>
      </c>
      <c r="D17" s="9">
        <v>20000</v>
      </c>
      <c r="E17" s="9">
        <v>0</v>
      </c>
      <c r="F17" s="9">
        <v>0</v>
      </c>
      <c r="G17" s="9">
        <v>0</v>
      </c>
      <c r="H17" s="3">
        <f t="shared" si="0"/>
        <v>20000</v>
      </c>
      <c r="I17" s="3">
        <f t="shared" si="1"/>
        <v>0</v>
      </c>
      <c r="J17" s="10"/>
    </row>
    <row r="18" spans="1:10" x14ac:dyDescent="0.35">
      <c r="A18" s="6" t="s">
        <v>333</v>
      </c>
      <c r="B18" s="6" t="s">
        <v>329</v>
      </c>
      <c r="C18" s="6" t="s">
        <v>334</v>
      </c>
      <c r="D18" s="9">
        <v>30000</v>
      </c>
      <c r="E18" s="9">
        <v>0</v>
      </c>
      <c r="F18" s="9">
        <v>20000</v>
      </c>
      <c r="G18" s="9">
        <v>0</v>
      </c>
      <c r="H18" s="3">
        <f t="shared" si="0"/>
        <v>30000</v>
      </c>
      <c r="I18" s="3">
        <f t="shared" si="1"/>
        <v>20000</v>
      </c>
      <c r="J18" s="10"/>
    </row>
    <row r="19" spans="1:10" ht="24" x14ac:dyDescent="0.35">
      <c r="A19" s="6" t="s">
        <v>335</v>
      </c>
      <c r="B19" s="6" t="s">
        <v>336</v>
      </c>
      <c r="C19" s="6" t="s">
        <v>337</v>
      </c>
      <c r="D19" s="9">
        <v>10798.7</v>
      </c>
      <c r="E19" s="9">
        <v>0</v>
      </c>
      <c r="F19" s="9">
        <v>0</v>
      </c>
      <c r="G19" s="9">
        <v>0</v>
      </c>
      <c r="H19" s="3">
        <f t="shared" si="0"/>
        <v>10798.7</v>
      </c>
      <c r="I19" s="3">
        <f t="shared" si="1"/>
        <v>0</v>
      </c>
      <c r="J19" s="10" t="s">
        <v>338</v>
      </c>
    </row>
    <row r="20" spans="1:10" x14ac:dyDescent="0.35">
      <c r="A20" s="6" t="s">
        <v>339</v>
      </c>
      <c r="B20" s="6" t="s">
        <v>340</v>
      </c>
      <c r="C20" s="6" t="s">
        <v>341</v>
      </c>
      <c r="D20" s="9">
        <v>40000</v>
      </c>
      <c r="E20" s="9">
        <v>0</v>
      </c>
      <c r="F20" s="9">
        <v>10000</v>
      </c>
      <c r="G20" s="9">
        <v>0</v>
      </c>
      <c r="H20" s="3">
        <f t="shared" si="0"/>
        <v>40000</v>
      </c>
      <c r="I20" s="3">
        <f t="shared" si="1"/>
        <v>10000</v>
      </c>
      <c r="J20" s="10"/>
    </row>
    <row r="21" spans="1:10" x14ac:dyDescent="0.35">
      <c r="A21" s="6" t="s">
        <v>342</v>
      </c>
      <c r="B21" s="6" t="s">
        <v>343</v>
      </c>
      <c r="C21" s="6" t="s">
        <v>344</v>
      </c>
      <c r="D21" s="9">
        <v>90000</v>
      </c>
      <c r="E21" s="9">
        <v>0</v>
      </c>
      <c r="F21" s="9">
        <v>50000</v>
      </c>
      <c r="G21" s="9">
        <v>0</v>
      </c>
      <c r="H21" s="3">
        <f t="shared" si="0"/>
        <v>90000</v>
      </c>
      <c r="I21" s="3">
        <f t="shared" si="1"/>
        <v>50000</v>
      </c>
      <c r="J21" s="10" t="s">
        <v>345</v>
      </c>
    </row>
    <row r="22" spans="1:10" x14ac:dyDescent="0.35">
      <c r="A22" s="7" t="s">
        <v>120</v>
      </c>
      <c r="D22" s="5">
        <f t="shared" ref="D22:I22" si="2">SUM(D5:D21)</f>
        <v>815000</v>
      </c>
      <c r="E22" s="5">
        <f t="shared" si="2"/>
        <v>815000</v>
      </c>
      <c r="F22" s="5">
        <f t="shared" si="2"/>
        <v>140000</v>
      </c>
      <c r="G22" s="5">
        <f t="shared" si="2"/>
        <v>140000</v>
      </c>
      <c r="H22" s="5">
        <f t="shared" si="2"/>
        <v>0</v>
      </c>
      <c r="I22" s="5">
        <f t="shared" si="2"/>
        <v>0</v>
      </c>
      <c r="J22" s="7" t="str">
        <f>IF(AND(ROUND(H22,2)=0,ROUND(I22,2)=0),"TB tallies","CHECK – TB not tallying")</f>
        <v>TB tallies</v>
      </c>
    </row>
    <row r="24" spans="1:10" x14ac:dyDescent="0.35">
      <c r="A24" s="1" t="s">
        <v>346</v>
      </c>
    </row>
  </sheetData>
  <pageMargins left="0.75" right="0.75" top="1" bottom="1" header="0.511811023622047" footer="0.511811023622047"/>
  <pageSetup paperSize="9" scale="45" fitToHeight="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18"/>
  <sheetViews>
    <sheetView showGridLines="0" zoomScaleNormal="100" workbookViewId="0"/>
  </sheetViews>
  <sheetFormatPr defaultColWidth="8.6328125" defaultRowHeight="14.5" x14ac:dyDescent="0.35"/>
  <cols>
    <col min="1" max="1" width="42" customWidth="1"/>
    <col min="2" max="2" width="70" customWidth="1"/>
    <col min="3" max="3" width="80" customWidth="1"/>
  </cols>
  <sheetData>
    <row r="1" spans="1:3" ht="15.5" x14ac:dyDescent="0.35">
      <c r="A1" s="12" t="s">
        <v>347</v>
      </c>
    </row>
    <row r="3" spans="1:3" x14ac:dyDescent="0.35">
      <c r="A3" s="15" t="s">
        <v>348</v>
      </c>
      <c r="B3" s="15" t="s">
        <v>349</v>
      </c>
      <c r="C3" s="15" t="s">
        <v>350</v>
      </c>
    </row>
    <row r="4" spans="1:3" x14ac:dyDescent="0.35">
      <c r="A4" s="6" t="s">
        <v>351</v>
      </c>
      <c r="B4" s="21" t="s">
        <v>352</v>
      </c>
      <c r="C4" s="10" t="s">
        <v>353</v>
      </c>
    </row>
    <row r="5" spans="1:3" ht="27.5" x14ac:dyDescent="0.35">
      <c r="A5" s="6" t="s">
        <v>354</v>
      </c>
      <c r="B5" s="21" t="s">
        <v>355</v>
      </c>
      <c r="C5" s="10" t="s">
        <v>356</v>
      </c>
    </row>
    <row r="6" spans="1:3" x14ac:dyDescent="0.35">
      <c r="A6" s="6" t="s">
        <v>357</v>
      </c>
      <c r="B6" s="21" t="s">
        <v>358</v>
      </c>
      <c r="C6" s="10" t="s">
        <v>359</v>
      </c>
    </row>
    <row r="7" spans="1:3" x14ac:dyDescent="0.35">
      <c r="A7" s="6" t="s">
        <v>360</v>
      </c>
      <c r="B7" s="22">
        <v>10000</v>
      </c>
      <c r="C7" s="10" t="s">
        <v>361</v>
      </c>
    </row>
    <row r="8" spans="1:3" x14ac:dyDescent="0.35">
      <c r="A8" s="6" t="s">
        <v>362</v>
      </c>
      <c r="B8" s="21" t="s">
        <v>363</v>
      </c>
      <c r="C8" s="10" t="s">
        <v>364</v>
      </c>
    </row>
    <row r="9" spans="1:3" x14ac:dyDescent="0.35">
      <c r="A9" s="6" t="s">
        <v>365</v>
      </c>
      <c r="B9" s="21" t="s">
        <v>366</v>
      </c>
      <c r="C9" s="10"/>
    </row>
    <row r="10" spans="1:3" x14ac:dyDescent="0.35">
      <c r="A10" s="6" t="s">
        <v>367</v>
      </c>
      <c r="B10" s="21" t="s">
        <v>368</v>
      </c>
      <c r="C10" s="10"/>
    </row>
    <row r="11" spans="1:3" x14ac:dyDescent="0.35">
      <c r="A11" s="6" t="s">
        <v>369</v>
      </c>
      <c r="B11" s="21" t="s">
        <v>370</v>
      </c>
      <c r="C11" s="10"/>
    </row>
    <row r="12" spans="1:3" x14ac:dyDescent="0.35">
      <c r="A12" s="6" t="s">
        <v>371</v>
      </c>
      <c r="B12" s="21"/>
      <c r="C12" s="10"/>
    </row>
    <row r="13" spans="1:3" x14ac:dyDescent="0.35">
      <c r="A13" s="6" t="s">
        <v>372</v>
      </c>
      <c r="B13" s="21" t="s">
        <v>138</v>
      </c>
      <c r="C13" s="10"/>
    </row>
    <row r="14" spans="1:3" x14ac:dyDescent="0.35">
      <c r="A14" s="6" t="s">
        <v>373</v>
      </c>
      <c r="B14" s="21" t="s">
        <v>374</v>
      </c>
      <c r="C14" s="10"/>
    </row>
    <row r="15" spans="1:3" x14ac:dyDescent="0.35">
      <c r="A15" s="6" t="s">
        <v>375</v>
      </c>
      <c r="B15" s="21" t="s">
        <v>139</v>
      </c>
      <c r="C15" s="10"/>
    </row>
    <row r="16" spans="1:3" x14ac:dyDescent="0.35">
      <c r="A16" s="6" t="s">
        <v>376</v>
      </c>
      <c r="B16" s="21" t="s">
        <v>377</v>
      </c>
      <c r="C16" s="10"/>
    </row>
    <row r="17" spans="1:3" x14ac:dyDescent="0.35">
      <c r="A17" s="6" t="s">
        <v>378</v>
      </c>
      <c r="B17" s="21" t="s">
        <v>379</v>
      </c>
      <c r="C17" s="10"/>
    </row>
    <row r="18" spans="1:3" x14ac:dyDescent="0.35">
      <c r="A18" s="6" t="s">
        <v>380</v>
      </c>
      <c r="B18" s="21" t="s">
        <v>381</v>
      </c>
      <c r="C18" s="10"/>
    </row>
  </sheetData>
  <pageMargins left="0.75" right="0.75" top="1" bottom="1" header="0.511811023622047" footer="0.511811023622047"/>
  <pageSetup paperSize="9"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8"/>
  <sheetViews>
    <sheetView showGridLines="0" zoomScaleNormal="100" workbookViewId="0">
      <selection activeCell="B2" sqref="B2"/>
    </sheetView>
  </sheetViews>
  <sheetFormatPr defaultColWidth="8.6328125" defaultRowHeight="14.5" x14ac:dyDescent="0.35"/>
  <cols>
    <col min="1" max="1" width="5" customWidth="1"/>
    <col min="2" max="2" width="110" customWidth="1"/>
    <col min="3" max="3" width="30" customWidth="1"/>
  </cols>
  <sheetData>
    <row r="1" spans="1:2" ht="15.5" x14ac:dyDescent="0.35">
      <c r="B1" s="12" t="s">
        <v>382</v>
      </c>
    </row>
    <row r="3" spans="1:2" x14ac:dyDescent="0.35">
      <c r="A3" s="15" t="s">
        <v>383</v>
      </c>
      <c r="B3" s="15" t="s">
        <v>384</v>
      </c>
    </row>
    <row r="4" spans="1:2" ht="45" customHeight="1" x14ac:dyDescent="0.35">
      <c r="A4" s="6">
        <v>1</v>
      </c>
      <c r="B4" s="14" t="s">
        <v>385</v>
      </c>
    </row>
    <row r="5" spans="1:2" ht="45" customHeight="1" x14ac:dyDescent="0.35">
      <c r="A5" s="6">
        <v>2</v>
      </c>
      <c r="B5" s="14" t="s">
        <v>386</v>
      </c>
    </row>
    <row r="6" spans="1:2" ht="45" customHeight="1" x14ac:dyDescent="0.35">
      <c r="A6" s="6"/>
      <c r="B6" s="14"/>
    </row>
    <row r="7" spans="1:2" ht="45" customHeight="1" x14ac:dyDescent="0.35">
      <c r="A7" s="6"/>
      <c r="B7" s="14"/>
    </row>
    <row r="8" spans="1:2" ht="45" customHeight="1" x14ac:dyDescent="0.35">
      <c r="A8" s="6"/>
      <c r="B8" s="14"/>
    </row>
  </sheetData>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Balance Sheet</vt:lpstr>
      <vt:lpstr>Profit and Loss</vt:lpstr>
      <vt:lpstr>Cash Flow</vt:lpstr>
      <vt:lpstr>Policy</vt:lpstr>
      <vt:lpstr>Notes</vt:lpstr>
      <vt:lpstr>Ratios</vt:lpstr>
      <vt:lpstr>TB</vt:lpstr>
      <vt:lpstr>Inputs</vt:lpstr>
      <vt:lpstr>Queries &amp; Assumptions</vt:lpstr>
      <vt:lpstr>'Cash Flow'!Print_Area</vt:lpstr>
      <vt:lpstr>Ratios!Print_Area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Saddab Akhtar</cp:lastModifiedBy>
  <cp:revision>0</cp:revision>
  <cp:lastPrinted>2026-10-02T21:05:59Z</cp:lastPrinted>
  <dcterms:created xsi:type="dcterms:W3CDTF">2026-10-02T20:49:06Z</dcterms:created>
  <dcterms:modified xsi:type="dcterms:W3CDTF">2026-10-02T21:08:03Z</dcterms:modified>
  <dc:language>en-US</dc:language>
</cp:coreProperties>
</file>