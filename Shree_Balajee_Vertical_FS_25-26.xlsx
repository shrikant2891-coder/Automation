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dab.a\Downloads\"/>
    </mc:Choice>
  </mc:AlternateContent>
  <xr:revisionPtr revIDLastSave="0" documentId="13_ncr:1_{7B625D9E-78F4-4A21-B061-E8353698164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lance Sheet" sheetId="1" r:id="rId1"/>
    <sheet name="Profit &amp; Los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1" i="3" l="1"/>
  <c r="D17" i="2" s="1"/>
  <c r="D141" i="3"/>
  <c r="C17" i="2" s="1"/>
  <c r="E128" i="3"/>
  <c r="D128" i="3"/>
  <c r="E123" i="3"/>
  <c r="D123" i="3"/>
  <c r="C14" i="2" s="1"/>
  <c r="E111" i="3"/>
  <c r="D12" i="2" s="1"/>
  <c r="D111" i="3"/>
  <c r="C12" i="2" s="1"/>
  <c r="E103" i="3"/>
  <c r="D8" i="2" s="1"/>
  <c r="D103" i="3"/>
  <c r="C8" i="2" s="1"/>
  <c r="E96" i="3"/>
  <c r="D7" i="2" s="1"/>
  <c r="D96" i="3"/>
  <c r="C7" i="2" s="1"/>
  <c r="E89" i="3"/>
  <c r="D89" i="3"/>
  <c r="E84" i="3"/>
  <c r="D34" i="1" s="1"/>
  <c r="D84" i="3"/>
  <c r="C34" i="1" s="1"/>
  <c r="E76" i="3"/>
  <c r="D33" i="1" s="1"/>
  <c r="D76" i="3"/>
  <c r="C33" i="1" s="1"/>
  <c r="E70" i="3"/>
  <c r="D32" i="1" s="1"/>
  <c r="D70" i="3"/>
  <c r="C32" i="1" s="1"/>
  <c r="E64" i="3"/>
  <c r="E116" i="3" s="1"/>
  <c r="E117" i="3" s="1"/>
  <c r="D13" i="2" s="1"/>
  <c r="D64" i="3"/>
  <c r="D116" i="3" s="1"/>
  <c r="D117" i="3" s="1"/>
  <c r="C13" i="2" s="1"/>
  <c r="E59" i="3"/>
  <c r="D28" i="1" s="1"/>
  <c r="D59" i="3"/>
  <c r="C28" i="1" s="1"/>
  <c r="E52" i="3"/>
  <c r="D52" i="3"/>
  <c r="C52" i="3"/>
  <c r="B52" i="3"/>
  <c r="H51" i="3"/>
  <c r="F51" i="3"/>
  <c r="H50" i="3"/>
  <c r="H52" i="3" s="1"/>
  <c r="C16" i="2" s="1"/>
  <c r="F50" i="3"/>
  <c r="F52" i="3" s="1"/>
  <c r="E46" i="3"/>
  <c r="D21" i="1" s="1"/>
  <c r="D46" i="3"/>
  <c r="C21" i="1" s="1"/>
  <c r="E39" i="3"/>
  <c r="E41" i="3" s="1"/>
  <c r="D20" i="1" s="1"/>
  <c r="D39" i="3"/>
  <c r="D41" i="3" s="1"/>
  <c r="C20" i="1" s="1"/>
  <c r="E34" i="3"/>
  <c r="D17" i="1" s="1"/>
  <c r="D34" i="3"/>
  <c r="C17" i="1" s="1"/>
  <c r="E28" i="3"/>
  <c r="D13" i="1" s="1"/>
  <c r="D15" i="1" s="1"/>
  <c r="D28" i="3"/>
  <c r="C13" i="1" s="1"/>
  <c r="C15" i="1" s="1"/>
  <c r="D16" i="2"/>
  <c r="D15" i="2"/>
  <c r="C15" i="2"/>
  <c r="D14" i="2"/>
  <c r="D35" i="1"/>
  <c r="C35" i="1"/>
  <c r="D27" i="1"/>
  <c r="D19" i="1"/>
  <c r="C19" i="1"/>
  <c r="I51" i="3" l="1"/>
  <c r="I50" i="3"/>
  <c r="C31" i="1"/>
  <c r="C36" i="1" s="1"/>
  <c r="C9" i="2"/>
  <c r="D29" i="1"/>
  <c r="D18" i="2"/>
  <c r="D9" i="2"/>
  <c r="D20" i="2" s="1"/>
  <c r="D22" i="2" s="1"/>
  <c r="D24" i="2" s="1"/>
  <c r="E19" i="3" s="1"/>
  <c r="E21" i="3" s="1"/>
  <c r="D9" i="1" s="1"/>
  <c r="D11" i="1" s="1"/>
  <c r="C18" i="2"/>
  <c r="D31" i="1"/>
  <c r="D36" i="1" s="1"/>
  <c r="D18" i="1"/>
  <c r="D23" i="1" s="1"/>
  <c r="C18" i="1"/>
  <c r="C23" i="1" s="1"/>
  <c r="I52" i="3" l="1"/>
  <c r="C27" i="1" s="1"/>
  <c r="C29" i="1" s="1"/>
  <c r="C37" i="1" s="1"/>
  <c r="C20" i="2"/>
  <c r="C22" i="2" s="1"/>
  <c r="C24" i="2" s="1"/>
  <c r="D19" i="3" s="1"/>
  <c r="D21" i="3" s="1"/>
  <c r="C9" i="1" s="1"/>
  <c r="C11" i="1" s="1"/>
  <c r="C24" i="1" s="1"/>
  <c r="D24" i="1"/>
  <c r="D37" i="1"/>
  <c r="C39" i="1" l="1"/>
  <c r="D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7" authorId="0" shapeId="0" xr:uid="{00000000-0006-0000-0200-000001000000}">
      <text>
        <r>
          <rPr>
            <sz val="10"/>
            <rFont val="Arial"/>
            <family val="2"/>
          </rPr>
          <t>= Closing capital as per audited Balance Sheet 31.03.2025 (1,751,011.44 + 446,197.26).</t>
        </r>
      </text>
    </comment>
    <comment ref="D18" authorId="0" shapeId="0" xr:uid="{00000000-0006-0000-0200-000002000000}">
      <text>
        <r>
          <rPr>
            <sz val="10"/>
            <rFont val="Arial"/>
            <family val="2"/>
          </rPr>
          <t>25-26 draft BS showed capital 29,19,716.40 vs audited PY closing 21,97,208.70. Difference 7,22,507.70 relates to P&amp;L A/c balance 7,99,110 in 25-26 TB less 76,602.30 – verify before finalising.</t>
        </r>
      </text>
    </comment>
    <comment ref="D40" authorId="0" shapeId="0" xr:uid="{00000000-0006-0000-0200-000003000000}">
      <text>
        <r>
          <rPr>
            <sz val="10"/>
            <rFont val="Arial"/>
            <family val="2"/>
          </rPr>
          <t>Fill MSME-registered creditors' outstanding here (verify Udyam status of suppliers).</t>
        </r>
      </text>
    </comment>
  </commentList>
</comments>
</file>

<file path=xl/sharedStrings.xml><?xml version="1.0" encoding="utf-8"?>
<sst xmlns="http://schemas.openxmlformats.org/spreadsheetml/2006/main" count="274" uniqueCount="164">
  <si>
    <t>SHREE BALAJEE ENTERPRISE</t>
  </si>
  <si>
    <t>(Proprietor: Abhishek Gupta)  |  11/72 Dakshinpuri, New Delhi-110062  |  PAN: BPNPG8069Q</t>
  </si>
  <si>
    <t>Balance Sheet as at 31st March 2026</t>
  </si>
  <si>
    <t>(Amount in ₹)</t>
  </si>
  <si>
    <t>Particulars</t>
  </si>
  <si>
    <t>Note No.</t>
  </si>
  <si>
    <t>As at
31.03.2026</t>
  </si>
  <si>
    <t>As at
31.03.2025</t>
  </si>
  <si>
    <t>I. EQUITY AND LIABILITIES</t>
  </si>
  <si>
    <t>(1) Owners' Funds</t>
  </si>
  <si>
    <t>(a) Proprietor's Capital Account</t>
  </si>
  <si>
    <t>(b) Reserves &amp; Surplus</t>
  </si>
  <si>
    <t>(2) Non-Current Liabilities</t>
  </si>
  <si>
    <t>(a) Long-term Borrowings</t>
  </si>
  <si>
    <t>(b) Long-term Provisions</t>
  </si>
  <si>
    <t>(3) Current Liabilities</t>
  </si>
  <si>
    <t>(a) Short-term Borrowings</t>
  </si>
  <si>
    <t>(b) Trade Payables</t>
  </si>
  <si>
    <t xml:space="preserve">     – Total outstanding dues of Micro &amp; Small Enterprises</t>
  </si>
  <si>
    <t xml:space="preserve">     – Total outstanding dues of others</t>
  </si>
  <si>
    <t>(c) Other Current Liabilities</t>
  </si>
  <si>
    <t>(d) Short-term Provisions</t>
  </si>
  <si>
    <t>TOTAL</t>
  </si>
  <si>
    <t>II. ASSETS</t>
  </si>
  <si>
    <t>(1) Non-Current Assets</t>
  </si>
  <si>
    <t>(a) Property, Plant &amp; Equipment</t>
  </si>
  <si>
    <t>(b) Long-term Loans &amp; Advances</t>
  </si>
  <si>
    <t>(2) Current Assets</t>
  </si>
  <si>
    <t>(a) Inventories</t>
  </si>
  <si>
    <t>(b) Trade Receivables</t>
  </si>
  <si>
    <t>(c) Cash &amp; Cash Equivalents</t>
  </si>
  <si>
    <t>(d) Short-term Loans &amp; Advances</t>
  </si>
  <si>
    <t>(e) Other Current Assets</t>
  </si>
  <si>
    <t>Check (Liabilities – Assets) → should be zero</t>
  </si>
  <si>
    <t>Significant Accounting Policies &amp; Notes forming part of the financial statements: Note 1 to 22</t>
  </si>
  <si>
    <t>As per our report of even date attached</t>
  </si>
  <si>
    <t>For G R B &amp; CO.</t>
  </si>
  <si>
    <t>For and on behalf of</t>
  </si>
  <si>
    <t>Chartered Accountants</t>
  </si>
  <si>
    <t>FRN: 040755N</t>
  </si>
  <si>
    <t>CA Roopali Garg</t>
  </si>
  <si>
    <t>Abhishek Gupta</t>
  </si>
  <si>
    <t>Partner</t>
  </si>
  <si>
    <t>(Proprietor)</t>
  </si>
  <si>
    <t>M. No.:</t>
  </si>
  <si>
    <t>Place: New Delhi</t>
  </si>
  <si>
    <t>Date:</t>
  </si>
  <si>
    <t>UDIN:</t>
  </si>
  <si>
    <t>Statement of Profit &amp; Loss for the year ended 31st March 2026</t>
  </si>
  <si>
    <t>Year ended
31.03.2026</t>
  </si>
  <si>
    <t>Year ended
31.03.2025</t>
  </si>
  <si>
    <t>I. Revenue from Operations</t>
  </si>
  <si>
    <t>II. Other Income</t>
  </si>
  <si>
    <t>III. Total Income (I + II)</t>
  </si>
  <si>
    <t>IV. Expenses</t>
  </si>
  <si>
    <t>(a) Purchases of Stock-in-Trade</t>
  </si>
  <si>
    <t>(b) Changes in Inventories of Stock-in-Trade</t>
  </si>
  <si>
    <t>(c) Employee Benefits Expense</t>
  </si>
  <si>
    <t>(d) Finance Costs</t>
  </si>
  <si>
    <t>(e) Depreciation &amp; Amortisation Expense</t>
  </si>
  <si>
    <t>(f) Other Expenses</t>
  </si>
  <si>
    <t>Total Expenses (IV)</t>
  </si>
  <si>
    <t>V. Profit before Exceptional &amp; Extraordinary Items and Tax (III – IV)</t>
  </si>
  <si>
    <t>VI. Exceptional &amp; Extraordinary Items</t>
  </si>
  <si>
    <t>VII. Profit before Tax (V – VI)</t>
  </si>
  <si>
    <t>VIII. Tax Expense (refer Note 22(d))</t>
  </si>
  <si>
    <t>IX. Profit for the year transferred to Capital Account (VII – VIII)</t>
  </si>
  <si>
    <t>Legend: Blue = values from books · Green = linked from Notes · Yellow = to be filled / verified (MSME, capital difference).</t>
  </si>
  <si>
    <t>Notes forming part of the Financial Statements for the year ended 31st March 2026</t>
  </si>
  <si>
    <t>Note 1: Entity Information &amp; Significant Accounting Policies</t>
  </si>
  <si>
    <t>(a) Entity: Shree Balajee Enterprise is a proprietary concern of Mr. Abhishek Gupta, engaged in wholesale trading/distribution of FMCG, grocery and healthcare products in Delhi.</t>
  </si>
  <si>
    <t>(b) Basis of preparation: Financial statements are prepared under the historical cost convention on accrual basis, in accordance with the Accounting Standards issued by ICAI (as applicable to non-corporate entities) and presented in the format prescribed by the ICAI Guidance Note on Financial Statements of Non-Corporate Entities.</t>
  </si>
  <si>
    <t>(c) Inventories: Stock-in-trade is valued at lower of cost and net realisable value, as taken, valued and certified by the proprietor.</t>
  </si>
  <si>
    <t>(d) Property, Plant &amp; Equipment: Stated at cost less depreciation. Depreciation is provided on WDV method at rates prescribed under the Income-tax Rules; half rate on assets put to use for less than 180 days.</t>
  </si>
  <si>
    <t>(e) Revenue recognition: Sales are recognised on transfer of significant risks and rewards and are stated net of GST, returns and trade discounts.</t>
  </si>
  <si>
    <t>(f) GST: Input tax credit is accounted for on accrual basis and adjusted against output liability; unutilised credit is carried as an asset.</t>
  </si>
  <si>
    <t>(g) Previous year figures have been regrouped/reclassified wherever necessary to conform to current year classification.</t>
  </si>
  <si>
    <t>Note 2: Proprietor's Capital Account – Abhishek Gupta</t>
  </si>
  <si>
    <t>As at 31.03.2026</t>
  </si>
  <si>
    <t>As at 31.03.2025</t>
  </si>
  <si>
    <t>Opening Balance</t>
  </si>
  <si>
    <t>Add: Other adjustments – difference vs. books (to be reconciled)</t>
  </si>
  <si>
    <t>Add: Net Profit for the year (as per Statement of P&amp;L)</t>
  </si>
  <si>
    <t>Less: Drawings during the year</t>
  </si>
  <si>
    <t>Closing Balance</t>
  </si>
  <si>
    <t>Note 3: Long-term Borrowings</t>
  </si>
  <si>
    <t>Unsecured</t>
  </si>
  <si>
    <t>Loan from Shree Ganeshay Trade</t>
  </si>
  <si>
    <t>Loan from Proprietor – Abhishek Gupta</t>
  </si>
  <si>
    <t>Total</t>
  </si>
  <si>
    <t>Note 4: Short-term Borrowings</t>
  </si>
  <si>
    <t>Secured – Loans repayable on demand from bank</t>
  </si>
  <si>
    <t>Central Bank of India – Overdraft (secured against stock &amp; book debts)</t>
  </si>
  <si>
    <t>Note 5: Trade Payables</t>
  </si>
  <si>
    <t>Sundry Creditors (for goods &amp; services)</t>
  </si>
  <si>
    <t>Of the above, dues to Micro &amp; Small Enterprises (MSMED Act) – for Sec. 43B(h) / Clause 22</t>
  </si>
  <si>
    <t>Dues to others</t>
  </si>
  <si>
    <t>Note 6: Other Current Liabilities</t>
  </si>
  <si>
    <t>Audit Fees Payable</t>
  </si>
  <si>
    <t>Note 7: Property, Plant &amp; Equipment (Depreciation as per Income-tax Act)</t>
  </si>
  <si>
    <t>WDV as on 01.04.2025</t>
  </si>
  <si>
    <t>Additions ≥ 180 days</t>
  </si>
  <si>
    <t>Additions &lt; 180 days</t>
  </si>
  <si>
    <t>Deletions</t>
  </si>
  <si>
    <t>Rate</t>
  </si>
  <si>
    <t>Depreciation for the year</t>
  </si>
  <si>
    <t>WDV as on 31.03.2026</t>
  </si>
  <si>
    <t>Plant &amp; Machinery</t>
  </si>
  <si>
    <t>Computers (including Software)</t>
  </si>
  <si>
    <t>Previous Year (2024-25)</t>
  </si>
  <si>
    <t>Note 8: Long-term Loans &amp; Advances</t>
  </si>
  <si>
    <t>Unsecured, considered good</t>
  </si>
  <si>
    <t>Security Deposits</t>
  </si>
  <si>
    <t>Note 9: Inventories</t>
  </si>
  <si>
    <t>Stock-in-trade (traded goods) – as valued &amp; certified by the proprietor</t>
  </si>
  <si>
    <t>Note 10: Trade Receivables</t>
  </si>
  <si>
    <t>Sundry Debtors</t>
  </si>
  <si>
    <t>Note 11: Cash &amp; Cash Equivalents</t>
  </si>
  <si>
    <t>Cash-in-hand</t>
  </si>
  <si>
    <t>Balance with Banks in Current Accounts</t>
  </si>
  <si>
    <t>Note 12: Short-term Loans &amp; Advances</t>
  </si>
  <si>
    <t>Loans to others (Sachin Gupta ₹25,000; Sanjay Gupta ₹50,000)</t>
  </si>
  <si>
    <t>Balances with Govt. authorities – TDS Receivable</t>
  </si>
  <si>
    <t>Balances with Govt. authorities – GST Input Credit</t>
  </si>
  <si>
    <t>Note 13: Other Current Assets</t>
  </si>
  <si>
    <t>Breakage / Expiry / Replacement A/c receivable</t>
  </si>
  <si>
    <t>Note 14: Revenue from Operations</t>
  </si>
  <si>
    <t>Sale of Products (traded goods)</t>
  </si>
  <si>
    <t>Local Sales</t>
  </si>
  <si>
    <t>Central (Inter-state) Sales</t>
  </si>
  <si>
    <t>Note 15: Other Income</t>
  </si>
  <si>
    <t>Incentive received</t>
  </si>
  <si>
    <t>Interest income (incl. on Income-tax refund)</t>
  </si>
  <si>
    <t>Additional discount</t>
  </si>
  <si>
    <t>Note 16: Purchases of Stock-in-Trade</t>
  </si>
  <si>
    <t>Purchases of traded goods (Local + Central)</t>
  </si>
  <si>
    <t>Add: Rate difference</t>
  </si>
  <si>
    <t>Less: Sales &amp; promotion credits</t>
  </si>
  <si>
    <t>Less: Secondary discount &amp; promotion credits</t>
  </si>
  <si>
    <t>Note 17: Changes in Inventories of Stock-in-Trade</t>
  </si>
  <si>
    <t>Inventory at the beginning of the year</t>
  </si>
  <si>
    <t>Less: Inventory at the end of the year</t>
  </si>
  <si>
    <t>Net (Increase) / Decrease</t>
  </si>
  <si>
    <t>Note 18: Employee Benefits Expense</t>
  </si>
  <si>
    <t>Salaries</t>
  </si>
  <si>
    <t>Staff Welfare</t>
  </si>
  <si>
    <t>Note 19: Finance Costs</t>
  </si>
  <si>
    <t>Interest on Bank Overdraft</t>
  </si>
  <si>
    <t>Note 21: Other Expenses</t>
  </si>
  <si>
    <t>Rent</t>
  </si>
  <si>
    <t>Discount allowed</t>
  </si>
  <si>
    <t>Bank Charges</t>
  </si>
  <si>
    <t>Vehicle Running &amp; Maintenance</t>
  </si>
  <si>
    <t>Printing &amp; Stationery</t>
  </si>
  <si>
    <t>Office Expenses</t>
  </si>
  <si>
    <t>Accounting / Professional Charges</t>
  </si>
  <si>
    <t>Audit Fees*</t>
  </si>
  <si>
    <t>Miscellaneous Expenses (incl. rate difference in PY)</t>
  </si>
  <si>
    <t>*Payment to Auditor: As Auditor – Statutory/Tax audit fee ₹12,500 (PY ₹10,000)</t>
  </si>
  <si>
    <t>Note 22: Other Disclosures</t>
  </si>
  <si>
    <t>(a) Contingent liabilities not provided for: Nil (as certified by the proprietor).</t>
  </si>
  <si>
    <t>(b) Related party transactions (AS-18): Loan from proprietor ₹1,00,000 (Note 3); Loans to Sachin Gupta / Sanjay Gupta to be confirmed if relatives.</t>
  </si>
  <si>
    <t>(c) Balances of trade receivables, trade payables and loans are subject to confirmation and reconciliation.</t>
  </si>
  <si>
    <t>(d) Income-tax on the income of the concern is the personal liability of the proprietor; hence no provision is made in these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</si>
</sst>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9"/>
      <color rgb="FF008000"/>
      <name val="Arial"/>
      <family val="2"/>
    </font>
    <font>
      <i/>
      <sz val="8"/>
      <color rgb="FF808080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i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indent="1"/>
    </xf>
    <xf numFmtId="0" fontId="7" fillId="0" borderId="0" xfId="0" applyFont="1" applyAlignment="1">
      <alignment indent="2"/>
    </xf>
    <xf numFmtId="0" fontId="7" fillId="0" borderId="0" xfId="0" applyFont="1" applyAlignment="1">
      <alignment horizontal="center"/>
    </xf>
    <xf numFmtId="164" fontId="8" fillId="0" borderId="0" xfId="0" applyNumberFormat="1" applyFont="1"/>
    <xf numFmtId="164" fontId="7" fillId="0" borderId="0" xfId="0" applyNumberFormat="1" applyFont="1"/>
    <xf numFmtId="164" fontId="6" fillId="0" borderId="2" xfId="0" applyNumberFormat="1" applyFont="1" applyBorder="1"/>
    <xf numFmtId="0" fontId="7" fillId="0" borderId="0" xfId="0" applyFont="1"/>
    <xf numFmtId="164" fontId="9" fillId="0" borderId="0" xfId="0" applyNumberFormat="1" applyFont="1"/>
    <xf numFmtId="164" fontId="6" fillId="0" borderId="3" xfId="0" applyNumberFormat="1" applyFont="1" applyBorder="1"/>
    <xf numFmtId="0" fontId="10" fillId="0" borderId="0" xfId="0" applyFont="1"/>
    <xf numFmtId="164" fontId="10" fillId="0" borderId="0" xfId="0" applyNumberFormat="1" applyFont="1"/>
    <xf numFmtId="0" fontId="5" fillId="0" borderId="0" xfId="0" applyFont="1"/>
    <xf numFmtId="0" fontId="3" fillId="0" borderId="0" xfId="0" applyFont="1"/>
    <xf numFmtId="164" fontId="6" fillId="0" borderId="0" xfId="0" applyNumberFormat="1" applyFont="1"/>
    <xf numFmtId="164" fontId="11" fillId="0" borderId="0" xfId="0" applyNumberFormat="1" applyFont="1"/>
    <xf numFmtId="164" fontId="11" fillId="3" borderId="0" xfId="0" applyNumberFormat="1" applyFont="1" applyFill="1"/>
    <xf numFmtId="164" fontId="3" fillId="0" borderId="0" xfId="0" applyNumberFormat="1" applyFont="1"/>
    <xf numFmtId="9" fontId="11" fillId="0" borderId="0" xfId="0" applyNumberFormat="1" applyFont="1"/>
    <xf numFmtId="0" fontId="12" fillId="0" borderId="0" xfId="0" applyFont="1"/>
    <xf numFmtId="164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45</xdr:row>
      <xdr:rowOff>31750</xdr:rowOff>
    </xdr:from>
    <xdr:to>
      <xdr:col>0</xdr:col>
      <xdr:colOff>1926590</xdr:colOff>
      <xdr:row>50</xdr:row>
      <xdr:rowOff>126222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4AFA1-B08D-A15A-D046-66B62063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8540750"/>
          <a:ext cx="1920240" cy="1015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31</xdr:row>
      <xdr:rowOff>44450</xdr:rowOff>
    </xdr:from>
    <xdr:to>
      <xdr:col>0</xdr:col>
      <xdr:colOff>2263140</xdr:colOff>
      <xdr:row>36</xdr:row>
      <xdr:rowOff>138922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2754B-9619-45B0-AD87-A23E1DAB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975350"/>
          <a:ext cx="1920240" cy="1015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152</xdr:row>
      <xdr:rowOff>19050</xdr:rowOff>
    </xdr:from>
    <xdr:to>
      <xdr:col>0</xdr:col>
      <xdr:colOff>1996440</xdr:colOff>
      <xdr:row>157</xdr:row>
      <xdr:rowOff>113522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19248-DDD4-4AAE-89AD-8CC0D36EA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9984700"/>
          <a:ext cx="1920240" cy="1015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7"/>
  <sheetViews>
    <sheetView showGridLines="0" tabSelected="1" zoomScaleNormal="100" workbookViewId="0">
      <pane ySplit="6" topLeftCell="A7" activePane="bottomLeft" state="frozen"/>
      <selection pane="bottomLeft" activeCell="B49" sqref="B49"/>
    </sheetView>
  </sheetViews>
  <sheetFormatPr defaultColWidth="8.6328125" defaultRowHeight="14.5" x14ac:dyDescent="0.35"/>
  <cols>
    <col min="1" max="1" width="58" customWidth="1"/>
    <col min="2" max="2" width="10" customWidth="1"/>
    <col min="3" max="4" width="20" customWidth="1"/>
  </cols>
  <sheetData>
    <row r="1" spans="1:4" ht="16.5" x14ac:dyDescent="0.35">
      <c r="A1" s="7" t="s">
        <v>0</v>
      </c>
      <c r="B1" s="7"/>
      <c r="C1" s="7"/>
      <c r="D1" s="7"/>
    </row>
    <row r="2" spans="1:4" x14ac:dyDescent="0.35">
      <c r="A2" s="6" t="s">
        <v>1</v>
      </c>
      <c r="B2" s="6"/>
      <c r="C2" s="6"/>
      <c r="D2" s="6"/>
    </row>
    <row r="3" spans="1:4" x14ac:dyDescent="0.35">
      <c r="A3" s="5" t="s">
        <v>2</v>
      </c>
      <c r="B3" s="5"/>
      <c r="C3" s="5"/>
      <c r="D3" s="5"/>
    </row>
    <row r="4" spans="1:4" x14ac:dyDescent="0.35">
      <c r="A4" s="4" t="s">
        <v>3</v>
      </c>
      <c r="B4" s="4"/>
      <c r="C4" s="4"/>
      <c r="D4" s="4"/>
    </row>
    <row r="6" spans="1:4" ht="30" customHeight="1" x14ac:dyDescent="0.35">
      <c r="A6" s="8" t="s">
        <v>4</v>
      </c>
      <c r="B6" s="9" t="s">
        <v>5</v>
      </c>
      <c r="C6" s="9" t="s">
        <v>6</v>
      </c>
      <c r="D6" s="9" t="s">
        <v>7</v>
      </c>
    </row>
    <row r="7" spans="1:4" x14ac:dyDescent="0.35">
      <c r="A7" s="10" t="s">
        <v>8</v>
      </c>
    </row>
    <row r="8" spans="1:4" x14ac:dyDescent="0.35">
      <c r="A8" s="11" t="s">
        <v>9</v>
      </c>
    </row>
    <row r="9" spans="1:4" x14ac:dyDescent="0.35">
      <c r="A9" s="12" t="s">
        <v>10</v>
      </c>
      <c r="B9" s="13">
        <v>2</v>
      </c>
      <c r="C9" s="14">
        <f>Notes!$D$21</f>
        <v>3542785.5499999952</v>
      </c>
      <c r="D9" s="14">
        <f>Notes!$E$21</f>
        <v>2197208.6999999979</v>
      </c>
    </row>
    <row r="10" spans="1:4" x14ac:dyDescent="0.35">
      <c r="A10" s="12" t="s">
        <v>11</v>
      </c>
      <c r="C10" s="15">
        <v>0</v>
      </c>
      <c r="D10" s="15">
        <v>0</v>
      </c>
    </row>
    <row r="11" spans="1:4" x14ac:dyDescent="0.35">
      <c r="A11" s="10"/>
      <c r="C11" s="16">
        <f>C9+C10</f>
        <v>3542785.5499999952</v>
      </c>
      <c r="D11" s="16">
        <f>D9+D10</f>
        <v>2197208.6999999979</v>
      </c>
    </row>
    <row r="12" spans="1:4" x14ac:dyDescent="0.35">
      <c r="A12" s="11" t="s">
        <v>12</v>
      </c>
    </row>
    <row r="13" spans="1:4" x14ac:dyDescent="0.35">
      <c r="A13" s="12" t="s">
        <v>13</v>
      </c>
      <c r="B13" s="13">
        <v>3</v>
      </c>
      <c r="C13" s="14">
        <f>Notes!$D$28</f>
        <v>431245</v>
      </c>
      <c r="D13" s="14">
        <f>Notes!$E$28</f>
        <v>331245</v>
      </c>
    </row>
    <row r="14" spans="1:4" x14ac:dyDescent="0.35">
      <c r="A14" s="12" t="s">
        <v>14</v>
      </c>
      <c r="C14" s="15">
        <v>0</v>
      </c>
      <c r="D14" s="15">
        <v>0</v>
      </c>
    </row>
    <row r="15" spans="1:4" x14ac:dyDescent="0.35">
      <c r="A15" s="10"/>
      <c r="C15" s="16">
        <f>C13+C14</f>
        <v>431245</v>
      </c>
      <c r="D15" s="16">
        <f>D13+D14</f>
        <v>331245</v>
      </c>
    </row>
    <row r="16" spans="1:4" x14ac:dyDescent="0.35">
      <c r="A16" s="11" t="s">
        <v>15</v>
      </c>
    </row>
    <row r="17" spans="1:4" x14ac:dyDescent="0.35">
      <c r="A17" s="12" t="s">
        <v>16</v>
      </c>
      <c r="B17" s="13">
        <v>4</v>
      </c>
      <c r="C17" s="14">
        <f>Notes!$D$34</f>
        <v>1943724.27</v>
      </c>
      <c r="D17" s="14">
        <f>Notes!$E$34</f>
        <v>1718405.47</v>
      </c>
    </row>
    <row r="18" spans="1:4" x14ac:dyDescent="0.35">
      <c r="A18" s="12" t="s">
        <v>17</v>
      </c>
      <c r="B18" s="13">
        <v>5</v>
      </c>
      <c r="C18" s="14">
        <f>Notes!$D$39</f>
        <v>1964741.39</v>
      </c>
      <c r="D18" s="14">
        <f>Notes!$E$39</f>
        <v>1453644.32</v>
      </c>
    </row>
    <row r="19" spans="1:4" x14ac:dyDescent="0.35">
      <c r="A19" s="17" t="s">
        <v>18</v>
      </c>
      <c r="C19" s="18">
        <f>Notes!D40</f>
        <v>0</v>
      </c>
      <c r="D19" s="18">
        <f>Notes!E40</f>
        <v>0</v>
      </c>
    </row>
    <row r="20" spans="1:4" x14ac:dyDescent="0.35">
      <c r="A20" s="17" t="s">
        <v>19</v>
      </c>
      <c r="C20" s="18">
        <f>Notes!D41</f>
        <v>1964741.39</v>
      </c>
      <c r="D20" s="18">
        <f>Notes!E41</f>
        <v>1453644.32</v>
      </c>
    </row>
    <row r="21" spans="1:4" x14ac:dyDescent="0.35">
      <c r="A21" s="12" t="s">
        <v>20</v>
      </c>
      <c r="B21" s="13">
        <v>6</v>
      </c>
      <c r="C21" s="14">
        <f>Notes!$D$46</f>
        <v>12500</v>
      </c>
      <c r="D21" s="14">
        <f>Notes!$E$46</f>
        <v>10000</v>
      </c>
    </row>
    <row r="22" spans="1:4" x14ac:dyDescent="0.35">
      <c r="A22" s="12" t="s">
        <v>21</v>
      </c>
      <c r="C22" s="15">
        <v>0</v>
      </c>
      <c r="D22" s="15">
        <v>0</v>
      </c>
    </row>
    <row r="23" spans="1:4" x14ac:dyDescent="0.35">
      <c r="A23" s="10"/>
      <c r="C23" s="16">
        <f>C17+C18+C21+C22</f>
        <v>3920965.66</v>
      </c>
      <c r="D23" s="16">
        <f>D17+D18+D21+D22</f>
        <v>3182049.79</v>
      </c>
    </row>
    <row r="24" spans="1:4" x14ac:dyDescent="0.35">
      <c r="A24" s="10" t="s">
        <v>22</v>
      </c>
      <c r="C24" s="19">
        <f>C11+C15+C23</f>
        <v>7894996.2099999953</v>
      </c>
      <c r="D24" s="19">
        <f>D11+D15+D23</f>
        <v>5710503.4899999984</v>
      </c>
    </row>
    <row r="25" spans="1:4" x14ac:dyDescent="0.35">
      <c r="A25" s="10" t="s">
        <v>23</v>
      </c>
    </row>
    <row r="26" spans="1:4" x14ac:dyDescent="0.35">
      <c r="A26" s="11" t="s">
        <v>24</v>
      </c>
    </row>
    <row r="27" spans="1:4" x14ac:dyDescent="0.35">
      <c r="A27" s="12" t="s">
        <v>25</v>
      </c>
      <c r="B27" s="13">
        <v>7</v>
      </c>
      <c r="C27" s="14">
        <f>Notes!$I$52</f>
        <v>458512.58</v>
      </c>
      <c r="D27" s="14">
        <f>Notes!$I$53</f>
        <v>407384.54</v>
      </c>
    </row>
    <row r="28" spans="1:4" x14ac:dyDescent="0.35">
      <c r="A28" s="12" t="s">
        <v>26</v>
      </c>
      <c r="B28" s="13">
        <v>8</v>
      </c>
      <c r="C28" s="14">
        <f>Notes!$D$59</f>
        <v>20000</v>
      </c>
      <c r="D28" s="14">
        <f>Notes!$E$59</f>
        <v>20000</v>
      </c>
    </row>
    <row r="29" spans="1:4" x14ac:dyDescent="0.35">
      <c r="A29" s="10"/>
      <c r="C29" s="16">
        <f>C27+C28</f>
        <v>478512.58</v>
      </c>
      <c r="D29" s="16">
        <f>D27+D28</f>
        <v>427384.54</v>
      </c>
    </row>
    <row r="30" spans="1:4" x14ac:dyDescent="0.35">
      <c r="A30" s="11" t="s">
        <v>27</v>
      </c>
    </row>
    <row r="31" spans="1:4" x14ac:dyDescent="0.35">
      <c r="A31" s="12" t="s">
        <v>28</v>
      </c>
      <c r="B31" s="13">
        <v>9</v>
      </c>
      <c r="C31" s="14">
        <f>Notes!$D$64</f>
        <v>2566170</v>
      </c>
      <c r="D31" s="14">
        <f>Notes!$E$64</f>
        <v>2529951.94</v>
      </c>
    </row>
    <row r="32" spans="1:4" x14ac:dyDescent="0.35">
      <c r="A32" s="12" t="s">
        <v>29</v>
      </c>
      <c r="B32" s="13">
        <v>10</v>
      </c>
      <c r="C32" s="14">
        <f>Notes!$D$70</f>
        <v>4347307.93</v>
      </c>
      <c r="D32" s="14">
        <f>Notes!$E$70</f>
        <v>2488282.61</v>
      </c>
    </row>
    <row r="33" spans="1:4" x14ac:dyDescent="0.35">
      <c r="A33" s="12" t="s">
        <v>30</v>
      </c>
      <c r="B33" s="13">
        <v>11</v>
      </c>
      <c r="C33" s="14">
        <f>Notes!$D$76</f>
        <v>324476.45999999996</v>
      </c>
      <c r="D33" s="14">
        <f>Notes!$E$76</f>
        <v>104332.45999999999</v>
      </c>
    </row>
    <row r="34" spans="1:4" x14ac:dyDescent="0.35">
      <c r="A34" s="12" t="s">
        <v>31</v>
      </c>
      <c r="B34" s="13">
        <v>12</v>
      </c>
      <c r="C34" s="14">
        <f>Notes!$D$84</f>
        <v>168173</v>
      </c>
      <c r="D34" s="14">
        <f>Notes!$E$84</f>
        <v>150195.70000000001</v>
      </c>
    </row>
    <row r="35" spans="1:4" x14ac:dyDescent="0.35">
      <c r="A35" s="12" t="s">
        <v>32</v>
      </c>
      <c r="B35" s="13">
        <v>13</v>
      </c>
      <c r="C35" s="14">
        <f>Notes!$D$89</f>
        <v>10356.24</v>
      </c>
      <c r="D35" s="14">
        <f>Notes!$E$89</f>
        <v>10356.24</v>
      </c>
    </row>
    <row r="36" spans="1:4" x14ac:dyDescent="0.35">
      <c r="A36" s="10"/>
      <c r="C36" s="16">
        <f>C31+C32+C33+C34+C35</f>
        <v>7416483.6299999999</v>
      </c>
      <c r="D36" s="16">
        <f>D31+D32+D33+D34+D35</f>
        <v>5283118.95</v>
      </c>
    </row>
    <row r="37" spans="1:4" x14ac:dyDescent="0.35">
      <c r="A37" s="10" t="s">
        <v>22</v>
      </c>
      <c r="C37" s="19">
        <f>C29+C36</f>
        <v>7894996.21</v>
      </c>
      <c r="D37" s="19">
        <f>D29+D36</f>
        <v>5710503.4900000002</v>
      </c>
    </row>
    <row r="39" spans="1:4" x14ac:dyDescent="0.35">
      <c r="A39" s="20" t="s">
        <v>33</v>
      </c>
      <c r="C39" s="21">
        <f>ROUND(C24-C37,2)</f>
        <v>0</v>
      </c>
      <c r="D39" s="21">
        <f>ROUND(D24-D37,2)</f>
        <v>0</v>
      </c>
    </row>
    <row r="40" spans="1:4" x14ac:dyDescent="0.35">
      <c r="A40" s="22" t="s">
        <v>34</v>
      </c>
    </row>
    <row r="41" spans="1:4" x14ac:dyDescent="0.35">
      <c r="A41" s="23" t="s">
        <v>35</v>
      </c>
    </row>
    <row r="43" spans="1:4" x14ac:dyDescent="0.35">
      <c r="A43" s="10" t="s">
        <v>36</v>
      </c>
      <c r="C43" s="17" t="s">
        <v>37</v>
      </c>
    </row>
    <row r="44" spans="1:4" x14ac:dyDescent="0.35">
      <c r="A44" s="17" t="s">
        <v>38</v>
      </c>
      <c r="C44" s="10" t="s">
        <v>0</v>
      </c>
    </row>
    <row r="45" spans="1:4" x14ac:dyDescent="0.35">
      <c r="A45" s="17" t="s">
        <v>39</v>
      </c>
      <c r="C45" s="17"/>
    </row>
    <row r="46" spans="1:4" x14ac:dyDescent="0.35">
      <c r="A46" s="17"/>
      <c r="C46" s="17"/>
    </row>
    <row r="47" spans="1:4" x14ac:dyDescent="0.35">
      <c r="A47" s="17"/>
      <c r="C47" s="17"/>
    </row>
    <row r="48" spans="1:4" x14ac:dyDescent="0.35">
      <c r="A48" s="17"/>
      <c r="C48" s="17"/>
    </row>
    <row r="49" spans="1:3" x14ac:dyDescent="0.35">
      <c r="A49" s="17"/>
      <c r="C49" s="17"/>
    </row>
    <row r="50" spans="1:3" x14ac:dyDescent="0.35">
      <c r="A50" s="17"/>
      <c r="C50" s="17"/>
    </row>
    <row r="51" spans="1:3" x14ac:dyDescent="0.35">
      <c r="A51" s="17"/>
      <c r="C51" s="17"/>
    </row>
    <row r="52" spans="1:3" x14ac:dyDescent="0.35">
      <c r="A52" s="10" t="s">
        <v>40</v>
      </c>
      <c r="C52" s="10" t="s">
        <v>41</v>
      </c>
    </row>
    <row r="53" spans="1:3" x14ac:dyDescent="0.35">
      <c r="A53" s="17" t="s">
        <v>42</v>
      </c>
      <c r="C53" s="17" t="s">
        <v>43</v>
      </c>
    </row>
    <row r="54" spans="1:3" x14ac:dyDescent="0.35">
      <c r="A54" s="17" t="s">
        <v>44</v>
      </c>
    </row>
    <row r="55" spans="1:3" x14ac:dyDescent="0.35">
      <c r="A55" s="17" t="s">
        <v>45</v>
      </c>
    </row>
    <row r="56" spans="1:3" x14ac:dyDescent="0.35">
      <c r="A56" s="17" t="s">
        <v>46</v>
      </c>
    </row>
    <row r="57" spans="1:3" x14ac:dyDescent="0.35">
      <c r="A57" s="17" t="s">
        <v>47</v>
      </c>
    </row>
  </sheetData>
  <mergeCells count="4">
    <mergeCell ref="A1:D1"/>
    <mergeCell ref="A2:D2"/>
    <mergeCell ref="A3:D3"/>
    <mergeCell ref="A4:D4"/>
  </mergeCells>
  <pageMargins left="0.75" right="0.75" top="1" bottom="1" header="0.511811023622047" footer="0.511811023622047"/>
  <pageSetup paperSize="9" scale="79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5"/>
  <sheetViews>
    <sheetView showGridLines="0" zoomScaleNormal="100" workbookViewId="0">
      <pane ySplit="6" topLeftCell="A22" activePane="bottomLeft" state="frozen"/>
      <selection pane="bottomLeft" activeCell="B33" sqref="B33"/>
    </sheetView>
  </sheetViews>
  <sheetFormatPr defaultColWidth="8.6328125" defaultRowHeight="14.5" x14ac:dyDescent="0.35"/>
  <cols>
    <col min="1" max="1" width="58" customWidth="1"/>
    <col min="2" max="2" width="10" customWidth="1"/>
    <col min="3" max="4" width="20" customWidth="1"/>
  </cols>
  <sheetData>
    <row r="1" spans="1:4" ht="16.5" x14ac:dyDescent="0.35">
      <c r="A1" s="7" t="s">
        <v>0</v>
      </c>
      <c r="B1" s="7"/>
      <c r="C1" s="7"/>
      <c r="D1" s="7"/>
    </row>
    <row r="2" spans="1:4" x14ac:dyDescent="0.35">
      <c r="A2" s="6" t="s">
        <v>1</v>
      </c>
      <c r="B2" s="6"/>
      <c r="C2" s="6"/>
      <c r="D2" s="6"/>
    </row>
    <row r="3" spans="1:4" x14ac:dyDescent="0.35">
      <c r="A3" s="5" t="s">
        <v>48</v>
      </c>
      <c r="B3" s="5"/>
      <c r="C3" s="5"/>
      <c r="D3" s="5"/>
    </row>
    <row r="4" spans="1:4" x14ac:dyDescent="0.35">
      <c r="A4" s="4" t="s">
        <v>3</v>
      </c>
      <c r="B4" s="4"/>
      <c r="C4" s="4"/>
      <c r="D4" s="4"/>
    </row>
    <row r="6" spans="1:4" ht="30" customHeight="1" x14ac:dyDescent="0.35">
      <c r="A6" s="8" t="s">
        <v>4</v>
      </c>
      <c r="B6" s="9" t="s">
        <v>5</v>
      </c>
      <c r="C6" s="9" t="s">
        <v>49</v>
      </c>
      <c r="D6" s="9" t="s">
        <v>50</v>
      </c>
    </row>
    <row r="7" spans="1:4" x14ac:dyDescent="0.35">
      <c r="A7" s="17" t="s">
        <v>51</v>
      </c>
      <c r="B7" s="13">
        <v>14</v>
      </c>
      <c r="C7" s="14">
        <f>Notes!$D$96</f>
        <v>23760968.670000002</v>
      </c>
      <c r="D7" s="14">
        <f>Notes!$E$96</f>
        <v>21682128.379999999</v>
      </c>
    </row>
    <row r="8" spans="1:4" x14ac:dyDescent="0.35">
      <c r="A8" s="17" t="s">
        <v>52</v>
      </c>
      <c r="B8" s="13">
        <v>15</v>
      </c>
      <c r="C8" s="14">
        <f>Notes!$D$103</f>
        <v>31460.83</v>
      </c>
      <c r="D8" s="14">
        <f>Notes!$E$103</f>
        <v>2836.81</v>
      </c>
    </row>
    <row r="9" spans="1:4" x14ac:dyDescent="0.35">
      <c r="A9" s="10" t="s">
        <v>53</v>
      </c>
      <c r="C9" s="16">
        <f>C7+C8</f>
        <v>23792429.5</v>
      </c>
      <c r="D9" s="16">
        <f>D7+D8</f>
        <v>21684965.189999998</v>
      </c>
    </row>
    <row r="11" spans="1:4" x14ac:dyDescent="0.35">
      <c r="A11" s="10" t="s">
        <v>54</v>
      </c>
    </row>
    <row r="12" spans="1:4" x14ac:dyDescent="0.35">
      <c r="A12" s="12" t="s">
        <v>55</v>
      </c>
      <c r="B12" s="13">
        <v>16</v>
      </c>
      <c r="C12" s="14">
        <f>Notes!$D$111</f>
        <v>21547908.710000001</v>
      </c>
      <c r="D12" s="14">
        <f>Notes!$E$111</f>
        <v>20893746.940000001</v>
      </c>
    </row>
    <row r="13" spans="1:4" x14ac:dyDescent="0.35">
      <c r="A13" s="12" t="s">
        <v>56</v>
      </c>
      <c r="B13" s="13">
        <v>17</v>
      </c>
      <c r="C13" s="14">
        <f>Notes!$D$117</f>
        <v>-36218.060000000056</v>
      </c>
      <c r="D13" s="14">
        <f>Notes!$E$117</f>
        <v>-1154364.94</v>
      </c>
    </row>
    <row r="14" spans="1:4" x14ac:dyDescent="0.35">
      <c r="A14" s="12" t="s">
        <v>57</v>
      </c>
      <c r="B14" s="13">
        <v>18</v>
      </c>
      <c r="C14" s="14">
        <f>Notes!$D$123</f>
        <v>920809.17</v>
      </c>
      <c r="D14" s="14">
        <f>Notes!$E$123</f>
        <v>867399.28</v>
      </c>
    </row>
    <row r="15" spans="1:4" x14ac:dyDescent="0.35">
      <c r="A15" s="12" t="s">
        <v>58</v>
      </c>
      <c r="B15" s="13">
        <v>19</v>
      </c>
      <c r="C15" s="14">
        <f>Notes!$D$128</f>
        <v>165638</v>
      </c>
      <c r="D15" s="14">
        <f>Notes!$E$128</f>
        <v>75458.2</v>
      </c>
    </row>
    <row r="16" spans="1:4" x14ac:dyDescent="0.35">
      <c r="A16" s="12" t="s">
        <v>59</v>
      </c>
      <c r="B16" s="13">
        <v>20</v>
      </c>
      <c r="C16" s="14">
        <f>Notes!$H$52</f>
        <v>94011</v>
      </c>
      <c r="D16" s="14">
        <f>Notes!$H$53</f>
        <v>81518</v>
      </c>
    </row>
    <row r="17" spans="1:4" x14ac:dyDescent="0.35">
      <c r="A17" s="12" t="s">
        <v>60</v>
      </c>
      <c r="B17" s="13">
        <v>21</v>
      </c>
      <c r="C17" s="14">
        <f>Notes!$D$141</f>
        <v>477211.53</v>
      </c>
      <c r="D17" s="14">
        <f>Notes!$E$141</f>
        <v>475010.44999999995</v>
      </c>
    </row>
    <row r="18" spans="1:4" x14ac:dyDescent="0.35">
      <c r="A18" s="10" t="s">
        <v>61</v>
      </c>
      <c r="C18" s="16">
        <f>SUM(C12:C17)</f>
        <v>23169360.350000005</v>
      </c>
      <c r="D18" s="16">
        <f>SUM(D12:D17)</f>
        <v>21238767.93</v>
      </c>
    </row>
    <row r="20" spans="1:4" x14ac:dyDescent="0.35">
      <c r="A20" s="10" t="s">
        <v>62</v>
      </c>
      <c r="C20" s="24">
        <f>C9-C18</f>
        <v>623069.14999999478</v>
      </c>
      <c r="D20" s="24">
        <f>D9-D18</f>
        <v>446197.25999999791</v>
      </c>
    </row>
    <row r="21" spans="1:4" x14ac:dyDescent="0.35">
      <c r="A21" s="17" t="s">
        <v>63</v>
      </c>
      <c r="C21" s="15">
        <v>0</v>
      </c>
      <c r="D21" s="15">
        <v>0</v>
      </c>
    </row>
    <row r="22" spans="1:4" x14ac:dyDescent="0.35">
      <c r="A22" s="10" t="s">
        <v>64</v>
      </c>
      <c r="C22" s="24">
        <f>C20-C21</f>
        <v>623069.14999999478</v>
      </c>
      <c r="D22" s="24">
        <f>D20-D21</f>
        <v>446197.25999999791</v>
      </c>
    </row>
    <row r="23" spans="1:4" x14ac:dyDescent="0.35">
      <c r="A23" s="17" t="s">
        <v>65</v>
      </c>
      <c r="C23" s="15">
        <v>0</v>
      </c>
      <c r="D23" s="15">
        <v>0</v>
      </c>
    </row>
    <row r="24" spans="1:4" x14ac:dyDescent="0.35">
      <c r="A24" s="10" t="s">
        <v>66</v>
      </c>
      <c r="C24" s="19">
        <f>C22-C23</f>
        <v>623069.14999999478</v>
      </c>
      <c r="D24" s="19">
        <f>D22-D23</f>
        <v>446197.25999999791</v>
      </c>
    </row>
    <row r="26" spans="1:4" x14ac:dyDescent="0.35">
      <c r="A26" s="22" t="s">
        <v>34</v>
      </c>
    </row>
    <row r="27" spans="1:4" x14ac:dyDescent="0.35">
      <c r="A27" s="23" t="s">
        <v>35</v>
      </c>
    </row>
    <row r="29" spans="1:4" x14ac:dyDescent="0.35">
      <c r="A29" s="10" t="s">
        <v>36</v>
      </c>
      <c r="C29" s="17" t="s">
        <v>37</v>
      </c>
    </row>
    <row r="30" spans="1:4" x14ac:dyDescent="0.35">
      <c r="A30" s="17" t="s">
        <v>38</v>
      </c>
      <c r="C30" s="10" t="s">
        <v>0</v>
      </c>
    </row>
    <row r="31" spans="1:4" x14ac:dyDescent="0.35">
      <c r="A31" s="17" t="s">
        <v>39</v>
      </c>
      <c r="C31" s="17"/>
    </row>
    <row r="32" spans="1:4" x14ac:dyDescent="0.35">
      <c r="A32" s="17"/>
      <c r="C32" s="17"/>
    </row>
    <row r="33" spans="1:3" x14ac:dyDescent="0.35">
      <c r="A33" s="17"/>
      <c r="C33" s="17"/>
    </row>
    <row r="34" spans="1:3" x14ac:dyDescent="0.35">
      <c r="A34" s="17"/>
      <c r="C34" s="17"/>
    </row>
    <row r="35" spans="1:3" x14ac:dyDescent="0.35">
      <c r="A35" s="17"/>
      <c r="C35" s="17"/>
    </row>
    <row r="36" spans="1:3" x14ac:dyDescent="0.35">
      <c r="A36" s="17"/>
      <c r="C36" s="17"/>
    </row>
    <row r="37" spans="1:3" x14ac:dyDescent="0.35">
      <c r="A37" s="17"/>
      <c r="C37" s="17"/>
    </row>
    <row r="38" spans="1:3" x14ac:dyDescent="0.35">
      <c r="A38" s="10" t="s">
        <v>40</v>
      </c>
      <c r="C38" s="10" t="s">
        <v>41</v>
      </c>
    </row>
    <row r="39" spans="1:3" x14ac:dyDescent="0.35">
      <c r="A39" s="17" t="s">
        <v>42</v>
      </c>
      <c r="C39" s="17" t="s">
        <v>43</v>
      </c>
    </row>
    <row r="40" spans="1:3" x14ac:dyDescent="0.35">
      <c r="A40" s="17" t="s">
        <v>44</v>
      </c>
    </row>
    <row r="41" spans="1:3" x14ac:dyDescent="0.35">
      <c r="A41" s="17" t="s">
        <v>45</v>
      </c>
    </row>
    <row r="42" spans="1:3" x14ac:dyDescent="0.35">
      <c r="A42" s="17" t="s">
        <v>46</v>
      </c>
    </row>
    <row r="43" spans="1:3" x14ac:dyDescent="0.35">
      <c r="A43" s="17" t="s">
        <v>47</v>
      </c>
    </row>
    <row r="45" spans="1:3" x14ac:dyDescent="0.35">
      <c r="A45" s="20" t="s">
        <v>67</v>
      </c>
    </row>
  </sheetData>
  <mergeCells count="4">
    <mergeCell ref="A1:D1"/>
    <mergeCell ref="A2:D2"/>
    <mergeCell ref="A3:D3"/>
    <mergeCell ref="A4:D4"/>
  </mergeCells>
  <pageMargins left="0.75" right="0.75" top="1" bottom="1" header="0.511811023622047" footer="0.511811023622047"/>
  <pageSetup paperSize="9"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64"/>
  <sheetViews>
    <sheetView showGridLines="0" topLeftCell="A34" zoomScaleNormal="100" workbookViewId="0">
      <selection activeCell="B85" sqref="B85"/>
    </sheetView>
  </sheetViews>
  <sheetFormatPr defaultColWidth="8.6328125" defaultRowHeight="14.5" x14ac:dyDescent="0.35"/>
  <cols>
    <col min="1" max="1" width="46" customWidth="1"/>
    <col min="2" max="6" width="16" customWidth="1"/>
    <col min="7" max="7" width="9" customWidth="1"/>
    <col min="8" max="9" width="16" customWidth="1"/>
  </cols>
  <sheetData>
    <row r="1" spans="1:9" ht="16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35">
      <c r="A3" s="5" t="s">
        <v>68</v>
      </c>
      <c r="B3" s="5"/>
      <c r="C3" s="5"/>
      <c r="D3" s="5"/>
      <c r="E3" s="5"/>
      <c r="F3" s="5"/>
      <c r="G3" s="5"/>
      <c r="H3" s="5"/>
      <c r="I3" s="5"/>
    </row>
    <row r="4" spans="1:9" x14ac:dyDescent="0.35">
      <c r="A4" s="4" t="s">
        <v>3</v>
      </c>
      <c r="B4" s="4"/>
      <c r="C4" s="4"/>
      <c r="D4" s="4"/>
      <c r="E4" s="4"/>
      <c r="F4" s="4"/>
      <c r="G4" s="4"/>
      <c r="H4" s="4"/>
      <c r="I4" s="4"/>
    </row>
    <row r="6" spans="1:9" x14ac:dyDescent="0.35">
      <c r="A6" s="10" t="s">
        <v>69</v>
      </c>
    </row>
    <row r="7" spans="1:9" ht="27.75" customHeight="1" x14ac:dyDescent="0.35">
      <c r="A7" s="3" t="s">
        <v>70</v>
      </c>
      <c r="B7" s="3"/>
      <c r="C7" s="3"/>
      <c r="D7" s="3"/>
      <c r="E7" s="3"/>
      <c r="F7" s="3"/>
      <c r="G7" s="3"/>
      <c r="H7" s="3"/>
      <c r="I7" s="3"/>
    </row>
    <row r="8" spans="1:9" ht="27.75" customHeight="1" x14ac:dyDescent="0.35">
      <c r="A8" s="3" t="s">
        <v>71</v>
      </c>
      <c r="B8" s="3"/>
      <c r="C8" s="3"/>
      <c r="D8" s="3"/>
      <c r="E8" s="3"/>
      <c r="F8" s="3"/>
      <c r="G8" s="3"/>
      <c r="H8" s="3"/>
      <c r="I8" s="3"/>
    </row>
    <row r="9" spans="1:9" ht="27.75" customHeight="1" x14ac:dyDescent="0.35">
      <c r="A9" s="3" t="s">
        <v>72</v>
      </c>
      <c r="B9" s="3"/>
      <c r="C9" s="3"/>
      <c r="D9" s="3"/>
      <c r="E9" s="3"/>
      <c r="F9" s="3"/>
      <c r="G9" s="3"/>
      <c r="H9" s="3"/>
      <c r="I9" s="3"/>
    </row>
    <row r="10" spans="1:9" ht="27.75" customHeight="1" x14ac:dyDescent="0.35">
      <c r="A10" s="3" t="s">
        <v>73</v>
      </c>
      <c r="B10" s="3"/>
      <c r="C10" s="3"/>
      <c r="D10" s="3"/>
      <c r="E10" s="3"/>
      <c r="F10" s="3"/>
      <c r="G10" s="3"/>
      <c r="H10" s="3"/>
      <c r="I10" s="3"/>
    </row>
    <row r="11" spans="1:9" ht="27.75" customHeight="1" x14ac:dyDescent="0.35">
      <c r="A11" s="3" t="s">
        <v>74</v>
      </c>
      <c r="B11" s="3"/>
      <c r="C11" s="3"/>
      <c r="D11" s="3"/>
      <c r="E11" s="3"/>
      <c r="F11" s="3"/>
      <c r="G11" s="3"/>
      <c r="H11" s="3"/>
      <c r="I11" s="3"/>
    </row>
    <row r="12" spans="1:9" ht="27.75" customHeight="1" x14ac:dyDescent="0.35">
      <c r="A12" s="3" t="s">
        <v>75</v>
      </c>
      <c r="B12" s="3"/>
      <c r="C12" s="3"/>
      <c r="D12" s="3"/>
      <c r="E12" s="3"/>
      <c r="F12" s="3"/>
      <c r="G12" s="3"/>
      <c r="H12" s="3"/>
      <c r="I12" s="3"/>
    </row>
    <row r="13" spans="1:9" ht="27.75" customHeight="1" x14ac:dyDescent="0.35">
      <c r="A13" s="3" t="s">
        <v>76</v>
      </c>
      <c r="B13" s="3"/>
      <c r="C13" s="3"/>
      <c r="D13" s="3"/>
      <c r="E13" s="3"/>
      <c r="F13" s="3"/>
      <c r="G13" s="3"/>
      <c r="H13" s="3"/>
      <c r="I13" s="3"/>
    </row>
    <row r="15" spans="1:9" x14ac:dyDescent="0.35">
      <c r="A15" s="10" t="s">
        <v>77</v>
      </c>
    </row>
    <row r="16" spans="1:9" ht="15" customHeight="1" x14ac:dyDescent="0.35">
      <c r="A16" s="2" t="s">
        <v>4</v>
      </c>
      <c r="B16" s="2"/>
      <c r="C16" s="2"/>
      <c r="D16" s="9" t="s">
        <v>78</v>
      </c>
      <c r="E16" s="9" t="s">
        <v>79</v>
      </c>
    </row>
    <row r="17" spans="1:5" x14ac:dyDescent="0.35">
      <c r="A17" s="17" t="s">
        <v>80</v>
      </c>
      <c r="D17" s="25">
        <v>2197208.7000000002</v>
      </c>
      <c r="E17" s="25">
        <v>1751011.44</v>
      </c>
    </row>
    <row r="18" spans="1:5" x14ac:dyDescent="0.35">
      <c r="A18" s="17" t="s">
        <v>81</v>
      </c>
      <c r="D18" s="26">
        <v>722507.7</v>
      </c>
      <c r="E18" s="25">
        <v>0</v>
      </c>
    </row>
    <row r="19" spans="1:5" x14ac:dyDescent="0.35">
      <c r="A19" s="17" t="s">
        <v>82</v>
      </c>
      <c r="D19" s="14">
        <f>'Profit &amp; Loss'!C24</f>
        <v>623069.14999999478</v>
      </c>
      <c r="E19" s="14">
        <f>'Profit &amp; Loss'!D24</f>
        <v>446197.25999999791</v>
      </c>
    </row>
    <row r="20" spans="1:5" x14ac:dyDescent="0.35">
      <c r="A20" s="17" t="s">
        <v>83</v>
      </c>
      <c r="D20" s="25">
        <v>0</v>
      </c>
      <c r="E20" s="25">
        <v>0</v>
      </c>
    </row>
    <row r="21" spans="1:5" x14ac:dyDescent="0.35">
      <c r="A21" s="10" t="s">
        <v>84</v>
      </c>
      <c r="D21" s="19">
        <f>D17+D18+D19-D20</f>
        <v>3542785.5499999952</v>
      </c>
      <c r="E21" s="19">
        <f>E17+E18+E19-E20</f>
        <v>2197208.6999999979</v>
      </c>
    </row>
    <row r="23" spans="1:5" x14ac:dyDescent="0.35">
      <c r="A23" s="10" t="s">
        <v>85</v>
      </c>
    </row>
    <row r="24" spans="1:5" ht="15" customHeight="1" x14ac:dyDescent="0.35">
      <c r="A24" s="2" t="s">
        <v>4</v>
      </c>
      <c r="B24" s="2"/>
      <c r="C24" s="2"/>
      <c r="D24" s="9" t="s">
        <v>78</v>
      </c>
      <c r="E24" s="9" t="s">
        <v>79</v>
      </c>
    </row>
    <row r="25" spans="1:5" x14ac:dyDescent="0.35">
      <c r="A25" s="10" t="s">
        <v>86</v>
      </c>
    </row>
    <row r="26" spans="1:5" x14ac:dyDescent="0.35">
      <c r="A26" s="17" t="s">
        <v>87</v>
      </c>
      <c r="D26" s="25">
        <v>331245</v>
      </c>
      <c r="E26" s="25">
        <v>331245</v>
      </c>
    </row>
    <row r="27" spans="1:5" x14ac:dyDescent="0.35">
      <c r="A27" s="17" t="s">
        <v>88</v>
      </c>
      <c r="D27" s="25">
        <v>100000</v>
      </c>
      <c r="E27" s="25">
        <v>0</v>
      </c>
    </row>
    <row r="28" spans="1:5" x14ac:dyDescent="0.35">
      <c r="A28" s="10" t="s">
        <v>89</v>
      </c>
      <c r="D28" s="19">
        <f>SUM(D25:D27)</f>
        <v>431245</v>
      </c>
      <c r="E28" s="19">
        <f>SUM(E25:E27)</f>
        <v>331245</v>
      </c>
    </row>
    <row r="30" spans="1:5" x14ac:dyDescent="0.35">
      <c r="A30" s="10" t="s">
        <v>90</v>
      </c>
    </row>
    <row r="31" spans="1:5" ht="15" customHeight="1" x14ac:dyDescent="0.35">
      <c r="A31" s="2" t="s">
        <v>4</v>
      </c>
      <c r="B31" s="2"/>
      <c r="C31" s="2"/>
      <c r="D31" s="9" t="s">
        <v>78</v>
      </c>
      <c r="E31" s="9" t="s">
        <v>79</v>
      </c>
    </row>
    <row r="32" spans="1:5" x14ac:dyDescent="0.35">
      <c r="A32" s="10" t="s">
        <v>91</v>
      </c>
    </row>
    <row r="33" spans="1:5" x14ac:dyDescent="0.35">
      <c r="A33" s="17" t="s">
        <v>92</v>
      </c>
      <c r="D33" s="25">
        <v>1943724.27</v>
      </c>
      <c r="E33" s="25">
        <v>1718405.47</v>
      </c>
    </row>
    <row r="34" spans="1:5" x14ac:dyDescent="0.35">
      <c r="A34" s="10" t="s">
        <v>89</v>
      </c>
      <c r="D34" s="19">
        <f>SUM(D32:D33)</f>
        <v>1943724.27</v>
      </c>
      <c r="E34" s="19">
        <f>SUM(E32:E33)</f>
        <v>1718405.47</v>
      </c>
    </row>
    <row r="36" spans="1:5" x14ac:dyDescent="0.35">
      <c r="A36" s="10" t="s">
        <v>93</v>
      </c>
    </row>
    <row r="37" spans="1:5" ht="15" customHeight="1" x14ac:dyDescent="0.35">
      <c r="A37" s="2" t="s">
        <v>4</v>
      </c>
      <c r="B37" s="2"/>
      <c r="C37" s="2"/>
      <c r="D37" s="9" t="s">
        <v>78</v>
      </c>
      <c r="E37" s="9" t="s">
        <v>79</v>
      </c>
    </row>
    <row r="38" spans="1:5" x14ac:dyDescent="0.35">
      <c r="A38" s="17" t="s">
        <v>94</v>
      </c>
      <c r="D38" s="25">
        <v>1964741.39</v>
      </c>
      <c r="E38" s="25">
        <v>1453644.32</v>
      </c>
    </row>
    <row r="39" spans="1:5" x14ac:dyDescent="0.35">
      <c r="A39" s="10" t="s">
        <v>89</v>
      </c>
      <c r="D39" s="19">
        <f>SUM(D38:D38)</f>
        <v>1964741.39</v>
      </c>
      <c r="E39" s="19">
        <f>SUM(E38:E38)</f>
        <v>1453644.32</v>
      </c>
    </row>
    <row r="40" spans="1:5" x14ac:dyDescent="0.35">
      <c r="A40" s="22" t="s">
        <v>95</v>
      </c>
      <c r="D40" s="26"/>
      <c r="E40" s="26"/>
    </row>
    <row r="41" spans="1:5" x14ac:dyDescent="0.35">
      <c r="A41" s="22" t="s">
        <v>96</v>
      </c>
      <c r="D41" s="27">
        <f>D39-D40</f>
        <v>1964741.39</v>
      </c>
      <c r="E41" s="27">
        <f>E39-E40</f>
        <v>1453644.32</v>
      </c>
    </row>
    <row r="43" spans="1:5" x14ac:dyDescent="0.35">
      <c r="A43" s="10" t="s">
        <v>97</v>
      </c>
    </row>
    <row r="44" spans="1:5" ht="15" customHeight="1" x14ac:dyDescent="0.35">
      <c r="A44" s="2" t="s">
        <v>4</v>
      </c>
      <c r="B44" s="2"/>
      <c r="C44" s="2"/>
      <c r="D44" s="9" t="s">
        <v>78</v>
      </c>
      <c r="E44" s="9" t="s">
        <v>79</v>
      </c>
    </row>
    <row r="45" spans="1:5" x14ac:dyDescent="0.35">
      <c r="A45" s="17" t="s">
        <v>98</v>
      </c>
      <c r="D45" s="25">
        <v>12500</v>
      </c>
      <c r="E45" s="25">
        <v>10000</v>
      </c>
    </row>
    <row r="46" spans="1:5" x14ac:dyDescent="0.35">
      <c r="A46" s="10" t="s">
        <v>89</v>
      </c>
      <c r="D46" s="19">
        <f>SUM(D45:D45)</f>
        <v>12500</v>
      </c>
      <c r="E46" s="19">
        <f>SUM(E45:E45)</f>
        <v>10000</v>
      </c>
    </row>
    <row r="48" spans="1:5" x14ac:dyDescent="0.35">
      <c r="A48" s="10" t="s">
        <v>99</v>
      </c>
    </row>
    <row r="49" spans="1:9" ht="30" customHeight="1" x14ac:dyDescent="0.35">
      <c r="A49" s="8" t="s">
        <v>4</v>
      </c>
      <c r="B49" s="9" t="s">
        <v>100</v>
      </c>
      <c r="C49" s="9" t="s">
        <v>101</v>
      </c>
      <c r="D49" s="9" t="s">
        <v>102</v>
      </c>
      <c r="E49" s="9" t="s">
        <v>103</v>
      </c>
      <c r="F49" s="9" t="s">
        <v>89</v>
      </c>
      <c r="G49" s="9" t="s">
        <v>104</v>
      </c>
      <c r="H49" s="9" t="s">
        <v>105</v>
      </c>
      <c r="I49" s="9" t="s">
        <v>106</v>
      </c>
    </row>
    <row r="50" spans="1:9" x14ac:dyDescent="0.35">
      <c r="A50" s="17" t="s">
        <v>107</v>
      </c>
      <c r="B50" s="25">
        <v>369607.81</v>
      </c>
      <c r="C50" s="25">
        <v>111376.33</v>
      </c>
      <c r="D50" s="25">
        <v>0</v>
      </c>
      <c r="E50" s="25">
        <v>0</v>
      </c>
      <c r="F50" s="15">
        <f>B50+C50+D50-E50</f>
        <v>480984.14</v>
      </c>
      <c r="G50" s="28">
        <v>0.15</v>
      </c>
      <c r="H50" s="15">
        <f>ROUND((B50+C50-E50)*G50+D50*G50/2,0)</f>
        <v>72148</v>
      </c>
      <c r="I50" s="15">
        <f>F50-H50</f>
        <v>408836.14</v>
      </c>
    </row>
    <row r="51" spans="1:9" x14ac:dyDescent="0.35">
      <c r="A51" s="17" t="s">
        <v>108</v>
      </c>
      <c r="B51" s="25">
        <v>37776.730000000003</v>
      </c>
      <c r="C51" s="25">
        <v>0</v>
      </c>
      <c r="D51" s="25">
        <v>33762.71</v>
      </c>
      <c r="E51" s="25">
        <v>0</v>
      </c>
      <c r="F51" s="15">
        <f>B51+C51+D51-E51</f>
        <v>71539.44</v>
      </c>
      <c r="G51" s="28">
        <v>0.4</v>
      </c>
      <c r="H51" s="15">
        <f>ROUND((B51+C51-E51)*G51+D51*G51/2,0)</f>
        <v>21863</v>
      </c>
      <c r="I51" s="15">
        <f>F51-H51</f>
        <v>49676.44</v>
      </c>
    </row>
    <row r="52" spans="1:9" x14ac:dyDescent="0.35">
      <c r="A52" s="10" t="s">
        <v>89</v>
      </c>
      <c r="B52" s="19">
        <f>SUM(B50:B51)</f>
        <v>407384.54</v>
      </c>
      <c r="C52" s="19">
        <f>SUM(C50:C51)</f>
        <v>111376.33</v>
      </c>
      <c r="D52" s="19">
        <f>SUM(D50:D51)</f>
        <v>33762.71</v>
      </c>
      <c r="E52" s="19">
        <f>SUM(E50:E51)</f>
        <v>0</v>
      </c>
      <c r="F52" s="19">
        <f>SUM(F50:F51)</f>
        <v>552523.58000000007</v>
      </c>
      <c r="H52" s="19">
        <f>SUM(H50:H51)</f>
        <v>94011</v>
      </c>
      <c r="I52" s="19">
        <f>SUM(I50:I51)</f>
        <v>458512.58</v>
      </c>
    </row>
    <row r="53" spans="1:9" x14ac:dyDescent="0.35">
      <c r="A53" s="29" t="s">
        <v>109</v>
      </c>
      <c r="B53" s="30">
        <v>289784.67</v>
      </c>
      <c r="C53" s="30">
        <v>98355.16</v>
      </c>
      <c r="D53" s="30">
        <v>100762.71</v>
      </c>
      <c r="E53" s="30">
        <v>0</v>
      </c>
      <c r="F53" s="30">
        <v>488902.54</v>
      </c>
      <c r="H53" s="30">
        <v>81518</v>
      </c>
      <c r="I53" s="30">
        <v>407384.54</v>
      </c>
    </row>
    <row r="55" spans="1:9" x14ac:dyDescent="0.35">
      <c r="A55" s="10" t="s">
        <v>110</v>
      </c>
    </row>
    <row r="56" spans="1:9" ht="15" customHeight="1" x14ac:dyDescent="0.35">
      <c r="A56" s="2" t="s">
        <v>4</v>
      </c>
      <c r="B56" s="2"/>
      <c r="C56" s="2"/>
      <c r="D56" s="9" t="s">
        <v>78</v>
      </c>
      <c r="E56" s="9" t="s">
        <v>79</v>
      </c>
    </row>
    <row r="57" spans="1:9" x14ac:dyDescent="0.35">
      <c r="A57" s="10" t="s">
        <v>111</v>
      </c>
    </row>
    <row r="58" spans="1:9" x14ac:dyDescent="0.35">
      <c r="A58" s="17" t="s">
        <v>112</v>
      </c>
      <c r="D58" s="25">
        <v>20000</v>
      </c>
      <c r="E58" s="25">
        <v>20000</v>
      </c>
    </row>
    <row r="59" spans="1:9" x14ac:dyDescent="0.35">
      <c r="A59" s="10" t="s">
        <v>89</v>
      </c>
      <c r="D59" s="19">
        <f>SUM(D57:D58)</f>
        <v>20000</v>
      </c>
      <c r="E59" s="19">
        <f>SUM(E57:E58)</f>
        <v>20000</v>
      </c>
    </row>
    <row r="61" spans="1:9" x14ac:dyDescent="0.35">
      <c r="A61" s="10" t="s">
        <v>113</v>
      </c>
    </row>
    <row r="62" spans="1:9" ht="15" customHeight="1" x14ac:dyDescent="0.35">
      <c r="A62" s="2" t="s">
        <v>4</v>
      </c>
      <c r="B62" s="2"/>
      <c r="C62" s="2"/>
      <c r="D62" s="9" t="s">
        <v>78</v>
      </c>
      <c r="E62" s="9" t="s">
        <v>79</v>
      </c>
    </row>
    <row r="63" spans="1:9" x14ac:dyDescent="0.35">
      <c r="A63" s="17" t="s">
        <v>114</v>
      </c>
      <c r="D63" s="25">
        <v>2566170</v>
      </c>
      <c r="E63" s="25">
        <v>2529951.94</v>
      </c>
    </row>
    <row r="64" spans="1:9" x14ac:dyDescent="0.35">
      <c r="A64" s="10" t="s">
        <v>89</v>
      </c>
      <c r="D64" s="19">
        <f>SUM(D63:D63)</f>
        <v>2566170</v>
      </c>
      <c r="E64" s="19">
        <f>SUM(E63:E63)</f>
        <v>2529951.94</v>
      </c>
    </row>
    <row r="66" spans="1:5" x14ac:dyDescent="0.35">
      <c r="A66" s="10" t="s">
        <v>115</v>
      </c>
    </row>
    <row r="67" spans="1:5" ht="15" customHeight="1" x14ac:dyDescent="0.35">
      <c r="A67" s="2" t="s">
        <v>4</v>
      </c>
      <c r="B67" s="2"/>
      <c r="C67" s="2"/>
      <c r="D67" s="9" t="s">
        <v>78</v>
      </c>
      <c r="E67" s="9" t="s">
        <v>79</v>
      </c>
    </row>
    <row r="68" spans="1:5" x14ac:dyDescent="0.35">
      <c r="A68" s="10" t="s">
        <v>111</v>
      </c>
    </row>
    <row r="69" spans="1:5" x14ac:dyDescent="0.35">
      <c r="A69" s="17" t="s">
        <v>116</v>
      </c>
      <c r="D69" s="25">
        <v>4347307.93</v>
      </c>
      <c r="E69" s="25">
        <v>2488282.61</v>
      </c>
    </row>
    <row r="70" spans="1:5" x14ac:dyDescent="0.35">
      <c r="A70" s="10" t="s">
        <v>89</v>
      </c>
      <c r="D70" s="19">
        <f>SUM(D68:D69)</f>
        <v>4347307.93</v>
      </c>
      <c r="E70" s="19">
        <f>SUM(E68:E69)</f>
        <v>2488282.61</v>
      </c>
    </row>
    <row r="72" spans="1:5" x14ac:dyDescent="0.35">
      <c r="A72" s="10" t="s">
        <v>117</v>
      </c>
    </row>
    <row r="73" spans="1:5" ht="15" customHeight="1" x14ac:dyDescent="0.35">
      <c r="A73" s="2" t="s">
        <v>4</v>
      </c>
      <c r="B73" s="2"/>
      <c r="C73" s="2"/>
      <c r="D73" s="9" t="s">
        <v>78</v>
      </c>
      <c r="E73" s="9" t="s">
        <v>79</v>
      </c>
    </row>
    <row r="74" spans="1:5" x14ac:dyDescent="0.35">
      <c r="A74" s="17" t="s">
        <v>118</v>
      </c>
      <c r="D74" s="25">
        <v>64500</v>
      </c>
      <c r="E74" s="25">
        <v>46248.9</v>
      </c>
    </row>
    <row r="75" spans="1:5" x14ac:dyDescent="0.35">
      <c r="A75" s="17" t="s">
        <v>119</v>
      </c>
      <c r="D75" s="25">
        <v>259976.46</v>
      </c>
      <c r="E75" s="25">
        <v>58083.56</v>
      </c>
    </row>
    <row r="76" spans="1:5" x14ac:dyDescent="0.35">
      <c r="A76" s="10" t="s">
        <v>89</v>
      </c>
      <c r="D76" s="19">
        <f>SUM(D74:D75)</f>
        <v>324476.45999999996</v>
      </c>
      <c r="E76" s="19">
        <f>SUM(E74:E75)</f>
        <v>104332.45999999999</v>
      </c>
    </row>
    <row r="78" spans="1:5" x14ac:dyDescent="0.35">
      <c r="A78" s="10" t="s">
        <v>120</v>
      </c>
    </row>
    <row r="79" spans="1:5" ht="15" customHeight="1" x14ac:dyDescent="0.35">
      <c r="A79" s="2" t="s">
        <v>4</v>
      </c>
      <c r="B79" s="2"/>
      <c r="C79" s="2"/>
      <c r="D79" s="9" t="s">
        <v>78</v>
      </c>
      <c r="E79" s="9" t="s">
        <v>79</v>
      </c>
    </row>
    <row r="80" spans="1:5" x14ac:dyDescent="0.35">
      <c r="A80" s="10" t="s">
        <v>111</v>
      </c>
    </row>
    <row r="81" spans="1:5" x14ac:dyDescent="0.35">
      <c r="A81" s="17" t="s">
        <v>121</v>
      </c>
      <c r="D81" s="25">
        <v>75000</v>
      </c>
      <c r="E81" s="25">
        <v>75000</v>
      </c>
    </row>
    <row r="82" spans="1:5" x14ac:dyDescent="0.35">
      <c r="A82" s="17" t="s">
        <v>122</v>
      </c>
      <c r="D82" s="25">
        <v>65558</v>
      </c>
      <c r="E82" s="25">
        <v>24467.07</v>
      </c>
    </row>
    <row r="83" spans="1:5" x14ac:dyDescent="0.35">
      <c r="A83" s="17" t="s">
        <v>123</v>
      </c>
      <c r="D83" s="25">
        <v>27615</v>
      </c>
      <c r="E83" s="25">
        <v>50728.63</v>
      </c>
    </row>
    <row r="84" spans="1:5" x14ac:dyDescent="0.35">
      <c r="A84" s="10" t="s">
        <v>89</v>
      </c>
      <c r="D84" s="19">
        <f>SUM(D80:D83)</f>
        <v>168173</v>
      </c>
      <c r="E84" s="19">
        <f>SUM(E80:E83)</f>
        <v>150195.70000000001</v>
      </c>
    </row>
    <row r="86" spans="1:5" x14ac:dyDescent="0.35">
      <c r="A86" s="10" t="s">
        <v>124</v>
      </c>
    </row>
    <row r="87" spans="1:5" ht="15" customHeight="1" x14ac:dyDescent="0.35">
      <c r="A87" s="2" t="s">
        <v>4</v>
      </c>
      <c r="B87" s="2"/>
      <c r="C87" s="2"/>
      <c r="D87" s="9" t="s">
        <v>78</v>
      </c>
      <c r="E87" s="9" t="s">
        <v>79</v>
      </c>
    </row>
    <row r="88" spans="1:5" x14ac:dyDescent="0.35">
      <c r="A88" s="17" t="s">
        <v>125</v>
      </c>
      <c r="D88" s="25">
        <v>10356.24</v>
      </c>
      <c r="E88" s="25">
        <v>10356.24</v>
      </c>
    </row>
    <row r="89" spans="1:5" x14ac:dyDescent="0.35">
      <c r="A89" s="10" t="s">
        <v>89</v>
      </c>
      <c r="D89" s="19">
        <f>SUM(D88:D88)</f>
        <v>10356.24</v>
      </c>
      <c r="E89" s="19">
        <f>SUM(E88:E88)</f>
        <v>10356.24</v>
      </c>
    </row>
    <row r="91" spans="1:5" x14ac:dyDescent="0.35">
      <c r="A91" s="10" t="s">
        <v>126</v>
      </c>
    </row>
    <row r="92" spans="1:5" ht="15" customHeight="1" x14ac:dyDescent="0.35">
      <c r="A92" s="2" t="s">
        <v>4</v>
      </c>
      <c r="B92" s="2"/>
      <c r="C92" s="2"/>
      <c r="D92" s="9" t="s">
        <v>78</v>
      </c>
      <c r="E92" s="9" t="s">
        <v>79</v>
      </c>
    </row>
    <row r="93" spans="1:5" x14ac:dyDescent="0.35">
      <c r="A93" s="10" t="s">
        <v>127</v>
      </c>
    </row>
    <row r="94" spans="1:5" x14ac:dyDescent="0.35">
      <c r="A94" s="17" t="s">
        <v>128</v>
      </c>
      <c r="D94" s="25">
        <v>23501543.550000001</v>
      </c>
      <c r="E94" s="25">
        <v>21401876.629999999</v>
      </c>
    </row>
    <row r="95" spans="1:5" x14ac:dyDescent="0.35">
      <c r="A95" s="17" t="s">
        <v>129</v>
      </c>
      <c r="D95" s="25">
        <v>259425.12</v>
      </c>
      <c r="E95" s="25">
        <v>280251.75</v>
      </c>
    </row>
    <row r="96" spans="1:5" x14ac:dyDescent="0.35">
      <c r="A96" s="10" t="s">
        <v>89</v>
      </c>
      <c r="D96" s="19">
        <f>SUM(D93:D95)</f>
        <v>23760968.670000002</v>
      </c>
      <c r="E96" s="19">
        <f>SUM(E93:E95)</f>
        <v>21682128.379999999</v>
      </c>
    </row>
    <row r="98" spans="1:5" x14ac:dyDescent="0.35">
      <c r="A98" s="10" t="s">
        <v>130</v>
      </c>
    </row>
    <row r="99" spans="1:5" ht="15" customHeight="1" x14ac:dyDescent="0.35">
      <c r="A99" s="2" t="s">
        <v>4</v>
      </c>
      <c r="B99" s="2"/>
      <c r="C99" s="2"/>
      <c r="D99" s="9" t="s">
        <v>78</v>
      </c>
      <c r="E99" s="9" t="s">
        <v>79</v>
      </c>
    </row>
    <row r="100" spans="1:5" x14ac:dyDescent="0.35">
      <c r="A100" s="17" t="s">
        <v>131</v>
      </c>
      <c r="D100" s="25">
        <v>29673.45</v>
      </c>
      <c r="E100" s="25">
        <v>0</v>
      </c>
    </row>
    <row r="101" spans="1:5" x14ac:dyDescent="0.35">
      <c r="A101" s="17" t="s">
        <v>132</v>
      </c>
      <c r="D101" s="25">
        <v>1768.38</v>
      </c>
      <c r="E101" s="25">
        <v>356</v>
      </c>
    </row>
    <row r="102" spans="1:5" x14ac:dyDescent="0.35">
      <c r="A102" s="17" t="s">
        <v>133</v>
      </c>
      <c r="D102" s="25">
        <v>19</v>
      </c>
      <c r="E102" s="25">
        <v>2480.81</v>
      </c>
    </row>
    <row r="103" spans="1:5" x14ac:dyDescent="0.35">
      <c r="A103" s="10" t="s">
        <v>89</v>
      </c>
      <c r="D103" s="19">
        <f>SUM(D100:D102)</f>
        <v>31460.83</v>
      </c>
      <c r="E103" s="19">
        <f>SUM(E100:E102)</f>
        <v>2836.81</v>
      </c>
    </row>
    <row r="105" spans="1:5" x14ac:dyDescent="0.35">
      <c r="A105" s="10" t="s">
        <v>134</v>
      </c>
    </row>
    <row r="106" spans="1:5" ht="15" customHeight="1" x14ac:dyDescent="0.35">
      <c r="A106" s="2" t="s">
        <v>4</v>
      </c>
      <c r="B106" s="2"/>
      <c r="C106" s="2"/>
      <c r="D106" s="9" t="s">
        <v>78</v>
      </c>
      <c r="E106" s="9" t="s">
        <v>79</v>
      </c>
    </row>
    <row r="107" spans="1:5" x14ac:dyDescent="0.35">
      <c r="A107" s="17" t="s">
        <v>135</v>
      </c>
      <c r="D107" s="25">
        <v>22536139.710000001</v>
      </c>
      <c r="E107" s="25">
        <v>21263212.940000001</v>
      </c>
    </row>
    <row r="108" spans="1:5" x14ac:dyDescent="0.35">
      <c r="A108" s="17" t="s">
        <v>136</v>
      </c>
      <c r="D108" s="25">
        <v>7321</v>
      </c>
      <c r="E108" s="25">
        <v>0</v>
      </c>
    </row>
    <row r="109" spans="1:5" x14ac:dyDescent="0.35">
      <c r="A109" s="17" t="s">
        <v>137</v>
      </c>
      <c r="D109" s="25">
        <v>-695487</v>
      </c>
      <c r="E109" s="25">
        <v>0</v>
      </c>
    </row>
    <row r="110" spans="1:5" x14ac:dyDescent="0.35">
      <c r="A110" s="17" t="s">
        <v>138</v>
      </c>
      <c r="D110" s="25">
        <v>-300065</v>
      </c>
      <c r="E110" s="25">
        <v>-369466</v>
      </c>
    </row>
    <row r="111" spans="1:5" x14ac:dyDescent="0.35">
      <c r="A111" s="10" t="s">
        <v>89</v>
      </c>
      <c r="D111" s="19">
        <f>SUM(D107:D110)</f>
        <v>21547908.710000001</v>
      </c>
      <c r="E111" s="19">
        <f>SUM(E107:E110)</f>
        <v>20893746.940000001</v>
      </c>
    </row>
    <row r="113" spans="1:5" x14ac:dyDescent="0.35">
      <c r="A113" s="10" t="s">
        <v>139</v>
      </c>
    </row>
    <row r="114" spans="1:5" ht="15" customHeight="1" x14ac:dyDescent="0.35">
      <c r="A114" s="2" t="s">
        <v>4</v>
      </c>
      <c r="B114" s="2"/>
      <c r="C114" s="2"/>
      <c r="D114" s="9" t="s">
        <v>78</v>
      </c>
      <c r="E114" s="9" t="s">
        <v>79</v>
      </c>
    </row>
    <row r="115" spans="1:5" x14ac:dyDescent="0.35">
      <c r="A115" s="17" t="s">
        <v>140</v>
      </c>
      <c r="D115" s="25">
        <v>2529951.94</v>
      </c>
      <c r="E115" s="25">
        <v>1375587</v>
      </c>
    </row>
    <row r="116" spans="1:5" x14ac:dyDescent="0.35">
      <c r="A116" s="17" t="s">
        <v>141</v>
      </c>
      <c r="D116" s="15">
        <f>$D$64</f>
        <v>2566170</v>
      </c>
      <c r="E116" s="15">
        <f>$E$64</f>
        <v>2529951.94</v>
      </c>
    </row>
    <row r="117" spans="1:5" x14ac:dyDescent="0.35">
      <c r="A117" s="10" t="s">
        <v>142</v>
      </c>
      <c r="D117" s="19">
        <f>D115-D116</f>
        <v>-36218.060000000056</v>
      </c>
      <c r="E117" s="19">
        <f>E115-E116</f>
        <v>-1154364.94</v>
      </c>
    </row>
    <row r="119" spans="1:5" x14ac:dyDescent="0.35">
      <c r="A119" s="10" t="s">
        <v>143</v>
      </c>
    </row>
    <row r="120" spans="1:5" ht="15" customHeight="1" x14ac:dyDescent="0.35">
      <c r="A120" s="2" t="s">
        <v>4</v>
      </c>
      <c r="B120" s="2"/>
      <c r="C120" s="2"/>
      <c r="D120" s="9" t="s">
        <v>78</v>
      </c>
      <c r="E120" s="9" t="s">
        <v>79</v>
      </c>
    </row>
    <row r="121" spans="1:5" x14ac:dyDescent="0.35">
      <c r="A121" s="17" t="s">
        <v>144</v>
      </c>
      <c r="D121" s="25">
        <v>910000</v>
      </c>
      <c r="E121" s="25">
        <v>858000</v>
      </c>
    </row>
    <row r="122" spans="1:5" x14ac:dyDescent="0.35">
      <c r="A122" s="17" t="s">
        <v>145</v>
      </c>
      <c r="D122" s="25">
        <v>10809.17</v>
      </c>
      <c r="E122" s="25">
        <v>9399.2800000000007</v>
      </c>
    </row>
    <row r="123" spans="1:5" x14ac:dyDescent="0.35">
      <c r="A123" s="10" t="s">
        <v>89</v>
      </c>
      <c r="D123" s="19">
        <f>SUM(D121:D122)</f>
        <v>920809.17</v>
      </c>
      <c r="E123" s="19">
        <f>SUM(E121:E122)</f>
        <v>867399.28</v>
      </c>
    </row>
    <row r="125" spans="1:5" x14ac:dyDescent="0.35">
      <c r="A125" s="10" t="s">
        <v>146</v>
      </c>
    </row>
    <row r="126" spans="1:5" ht="15" customHeight="1" x14ac:dyDescent="0.35">
      <c r="A126" s="2" t="s">
        <v>4</v>
      </c>
      <c r="B126" s="2"/>
      <c r="C126" s="2"/>
      <c r="D126" s="9" t="s">
        <v>78</v>
      </c>
      <c r="E126" s="9" t="s">
        <v>79</v>
      </c>
    </row>
    <row r="127" spans="1:5" x14ac:dyDescent="0.35">
      <c r="A127" s="17" t="s">
        <v>147</v>
      </c>
      <c r="D127" s="25">
        <v>165638</v>
      </c>
      <c r="E127" s="25">
        <v>75458.2</v>
      </c>
    </row>
    <row r="128" spans="1:5" x14ac:dyDescent="0.35">
      <c r="A128" s="10" t="s">
        <v>89</v>
      </c>
      <c r="D128" s="19">
        <f>SUM(D127:D127)</f>
        <v>165638</v>
      </c>
      <c r="E128" s="19">
        <f>SUM(E127:E127)</f>
        <v>75458.2</v>
      </c>
    </row>
    <row r="130" spans="1:5" x14ac:dyDescent="0.35">
      <c r="A130" s="10" t="s">
        <v>148</v>
      </c>
    </row>
    <row r="131" spans="1:5" ht="15" customHeight="1" x14ac:dyDescent="0.35">
      <c r="A131" s="2" t="s">
        <v>4</v>
      </c>
      <c r="B131" s="2"/>
      <c r="C131" s="2"/>
      <c r="D131" s="9" t="s">
        <v>78</v>
      </c>
      <c r="E131" s="9" t="s">
        <v>79</v>
      </c>
    </row>
    <row r="132" spans="1:5" x14ac:dyDescent="0.35">
      <c r="A132" s="17" t="s">
        <v>149</v>
      </c>
      <c r="D132" s="25">
        <v>270000</v>
      </c>
      <c r="E132" s="25">
        <v>304000</v>
      </c>
    </row>
    <row r="133" spans="1:5" x14ac:dyDescent="0.35">
      <c r="A133" s="17" t="s">
        <v>150</v>
      </c>
      <c r="D133" s="25">
        <v>96139.6</v>
      </c>
      <c r="E133" s="25">
        <v>76259</v>
      </c>
    </row>
    <row r="134" spans="1:5" x14ac:dyDescent="0.35">
      <c r="A134" s="17" t="s">
        <v>151</v>
      </c>
      <c r="D134" s="25">
        <v>39484.29</v>
      </c>
      <c r="E134" s="25">
        <v>30792.38</v>
      </c>
    </row>
    <row r="135" spans="1:5" x14ac:dyDescent="0.35">
      <c r="A135" s="17" t="s">
        <v>152</v>
      </c>
      <c r="D135" s="25">
        <v>19035.72</v>
      </c>
      <c r="E135" s="25">
        <v>16552.8</v>
      </c>
    </row>
    <row r="136" spans="1:5" x14ac:dyDescent="0.35">
      <c r="A136" s="17" t="s">
        <v>153</v>
      </c>
      <c r="D136" s="25">
        <v>17069.53</v>
      </c>
      <c r="E136" s="25">
        <v>14843.07</v>
      </c>
    </row>
    <row r="137" spans="1:5" x14ac:dyDescent="0.35">
      <c r="A137" s="17" t="s">
        <v>154</v>
      </c>
      <c r="D137" s="25">
        <v>7354.08</v>
      </c>
      <c r="E137" s="25">
        <v>6394.85</v>
      </c>
    </row>
    <row r="138" spans="1:5" x14ac:dyDescent="0.35">
      <c r="A138" s="17" t="s">
        <v>155</v>
      </c>
      <c r="D138" s="25">
        <v>12000</v>
      </c>
      <c r="E138" s="25">
        <v>12000</v>
      </c>
    </row>
    <row r="139" spans="1:5" x14ac:dyDescent="0.35">
      <c r="A139" s="17" t="s">
        <v>156</v>
      </c>
      <c r="D139" s="25">
        <v>12500</v>
      </c>
      <c r="E139" s="25">
        <v>10000</v>
      </c>
    </row>
    <row r="140" spans="1:5" x14ac:dyDescent="0.35">
      <c r="A140" s="17" t="s">
        <v>157</v>
      </c>
      <c r="D140" s="25">
        <v>3628.31</v>
      </c>
      <c r="E140" s="25">
        <v>4168.3500000000004</v>
      </c>
    </row>
    <row r="141" spans="1:5" x14ac:dyDescent="0.35">
      <c r="A141" s="10" t="s">
        <v>89</v>
      </c>
      <c r="D141" s="19">
        <f>SUM(D132:D140)</f>
        <v>477211.53</v>
      </c>
      <c r="E141" s="19">
        <f>SUM(E132:E140)</f>
        <v>475010.44999999995</v>
      </c>
    </row>
    <row r="142" spans="1:5" x14ac:dyDescent="0.35">
      <c r="A142" s="22" t="s">
        <v>158</v>
      </c>
    </row>
    <row r="144" spans="1:5" x14ac:dyDescent="0.35">
      <c r="A144" s="10" t="s">
        <v>159</v>
      </c>
    </row>
    <row r="145" spans="1:9" ht="24" customHeight="1" x14ac:dyDescent="0.35">
      <c r="A145" s="1" t="s">
        <v>160</v>
      </c>
      <c r="B145" s="1"/>
      <c r="C145" s="1"/>
      <c r="D145" s="1"/>
      <c r="E145" s="1"/>
      <c r="F145" s="1"/>
      <c r="G145" s="1"/>
      <c r="H145" s="1"/>
      <c r="I145" s="1"/>
    </row>
    <row r="146" spans="1:9" ht="24" customHeight="1" x14ac:dyDescent="0.35">
      <c r="A146" s="1" t="s">
        <v>161</v>
      </c>
      <c r="B146" s="1"/>
      <c r="C146" s="1"/>
      <c r="D146" s="1"/>
      <c r="E146" s="1"/>
      <c r="F146" s="1"/>
      <c r="G146" s="1"/>
      <c r="H146" s="1"/>
      <c r="I146" s="1"/>
    </row>
    <row r="147" spans="1:9" ht="24" customHeight="1" x14ac:dyDescent="0.35">
      <c r="A147" s="1" t="s">
        <v>162</v>
      </c>
      <c r="B147" s="1"/>
      <c r="C147" s="1"/>
      <c r="D147" s="1"/>
      <c r="E147" s="1"/>
      <c r="F147" s="1"/>
      <c r="G147" s="1"/>
      <c r="H147" s="1"/>
      <c r="I147" s="1"/>
    </row>
    <row r="148" spans="1:9" ht="24" customHeight="1" x14ac:dyDescent="0.35">
      <c r="A148" s="1" t="s">
        <v>163</v>
      </c>
      <c r="B148" s="1"/>
      <c r="C148" s="1"/>
      <c r="D148" s="1"/>
      <c r="E148" s="1"/>
      <c r="F148" s="1"/>
      <c r="G148" s="1"/>
      <c r="H148" s="1"/>
      <c r="I148" s="1"/>
    </row>
    <row r="150" spans="1:9" x14ac:dyDescent="0.35">
      <c r="A150" s="10" t="s">
        <v>36</v>
      </c>
      <c r="H150" s="17" t="s">
        <v>37</v>
      </c>
    </row>
    <row r="151" spans="1:9" x14ac:dyDescent="0.35">
      <c r="A151" s="17" t="s">
        <v>38</v>
      </c>
      <c r="H151" s="10" t="s">
        <v>0</v>
      </c>
    </row>
    <row r="152" spans="1:9" x14ac:dyDescent="0.35">
      <c r="A152" s="17" t="s">
        <v>39</v>
      </c>
      <c r="H152" s="17"/>
    </row>
    <row r="153" spans="1:9" x14ac:dyDescent="0.35">
      <c r="A153" s="17"/>
      <c r="H153" s="17"/>
    </row>
    <row r="154" spans="1:9" x14ac:dyDescent="0.35">
      <c r="A154" s="17"/>
      <c r="H154" s="17"/>
    </row>
    <row r="155" spans="1:9" x14ac:dyDescent="0.35">
      <c r="A155" s="17"/>
      <c r="H155" s="17"/>
    </row>
    <row r="156" spans="1:9" x14ac:dyDescent="0.35">
      <c r="A156" s="17"/>
      <c r="H156" s="17"/>
    </row>
    <row r="157" spans="1:9" x14ac:dyDescent="0.35">
      <c r="A157" s="17"/>
      <c r="H157" s="17"/>
    </row>
    <row r="158" spans="1:9" x14ac:dyDescent="0.35">
      <c r="A158" s="17"/>
      <c r="H158" s="17"/>
    </row>
    <row r="159" spans="1:9" x14ac:dyDescent="0.35">
      <c r="A159" s="10" t="s">
        <v>40</v>
      </c>
      <c r="H159" s="10" t="s">
        <v>41</v>
      </c>
    </row>
    <row r="160" spans="1:9" x14ac:dyDescent="0.35">
      <c r="A160" s="17" t="s">
        <v>42</v>
      </c>
      <c r="H160" s="17" t="s">
        <v>43</v>
      </c>
    </row>
    <row r="161" spans="1:1" x14ac:dyDescent="0.35">
      <c r="A161" s="17" t="s">
        <v>44</v>
      </c>
    </row>
    <row r="162" spans="1:1" x14ac:dyDescent="0.35">
      <c r="A162" s="17" t="s">
        <v>45</v>
      </c>
    </row>
    <row r="163" spans="1:1" x14ac:dyDescent="0.35">
      <c r="A163" s="17" t="s">
        <v>46</v>
      </c>
    </row>
    <row r="164" spans="1:1" x14ac:dyDescent="0.35">
      <c r="A164" s="17" t="s">
        <v>47</v>
      </c>
    </row>
  </sheetData>
  <mergeCells count="33">
    <mergeCell ref="A146:I146"/>
    <mergeCell ref="A147:I147"/>
    <mergeCell ref="A148:I148"/>
    <mergeCell ref="A114:C114"/>
    <mergeCell ref="A120:C120"/>
    <mergeCell ref="A126:C126"/>
    <mergeCell ref="A131:C131"/>
    <mergeCell ref="A145:I145"/>
    <mergeCell ref="A79:C79"/>
    <mergeCell ref="A87:C87"/>
    <mergeCell ref="A92:C92"/>
    <mergeCell ref="A99:C99"/>
    <mergeCell ref="A106:C106"/>
    <mergeCell ref="A44:C44"/>
    <mergeCell ref="A56:C56"/>
    <mergeCell ref="A62:C62"/>
    <mergeCell ref="A67:C67"/>
    <mergeCell ref="A73:C73"/>
    <mergeCell ref="A13:I13"/>
    <mergeCell ref="A16:C16"/>
    <mergeCell ref="A24:C24"/>
    <mergeCell ref="A31:C31"/>
    <mergeCell ref="A37:C37"/>
    <mergeCell ref="A8:I8"/>
    <mergeCell ref="A9:I9"/>
    <mergeCell ref="A10:I10"/>
    <mergeCell ref="A11:I11"/>
    <mergeCell ref="A12:I12"/>
    <mergeCell ref="A1:I1"/>
    <mergeCell ref="A2:I2"/>
    <mergeCell ref="A3:I3"/>
    <mergeCell ref="A4:I4"/>
    <mergeCell ref="A7:I7"/>
  </mergeCells>
  <pageMargins left="0.75" right="0.75" top="1" bottom="1" header="0.511811023622047" footer="0.511811023622047"/>
  <pageSetup paperSize="9" scale="77" fitToHeight="0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&amp; Loss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Saddab Akhtar</cp:lastModifiedBy>
  <cp:revision>0</cp:revision>
  <cp:lastPrinted>2026-09-24T09:24:11Z</cp:lastPrinted>
  <dcterms:created xsi:type="dcterms:W3CDTF">2026-09-24T09:15:14Z</dcterms:created>
  <dcterms:modified xsi:type="dcterms:W3CDTF">2026-09-24T09:24:29Z</dcterms:modified>
  <dc:language>en-US</dc:language>
</cp:coreProperties>
</file>