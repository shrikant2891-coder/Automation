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ddab.a\Downloads\"/>
    </mc:Choice>
  </mc:AlternateContent>
  <xr:revisionPtr revIDLastSave="0" documentId="13_ncr:1_{A3828EE1-523D-4B0F-8FD8-9A14C72544AF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Balance Sheet" sheetId="1" r:id="rId1"/>
    <sheet name="Profit &amp; Loss" sheetId="2" r:id="rId2"/>
    <sheet name="Notes" sheetId="3" r:id="rId3"/>
    <sheet name="Sch A - Depreciation" sheetId="4" r:id="rId4"/>
    <sheet name="Sch B - Debtors" sheetId="5" r:id="rId5"/>
    <sheet name="Sch C - Creditors" sheetId="6" r:id="rId6"/>
    <sheet name="Sch D - Loans" sheetId="7" r:id="rId7"/>
    <sheet name="Sch E - Income Tax" sheetId="8" r:id="rId8"/>
    <sheet name="Sch F - GST Sales Reco" sheetId="9" r:id="rId9"/>
    <sheet name="Sch G - ESI" sheetId="10" r:id="rId10"/>
    <sheet name="Sch H - Partner Remuneration" sheetId="11" r:id="rId11"/>
  </sheets>
  <definedNames>
    <definedName name="_xlnm.Print_Area" localSheetId="0">'Balance Sheet'!$A$1:$D$48</definedName>
    <definedName name="_xlnm.Print_Area" localSheetId="2">Notes!$A$1:$C$226</definedName>
    <definedName name="_xlnm.Print_Area" localSheetId="1">'Profit &amp; Loss'!$A$1:$D$48</definedName>
    <definedName name="_xlnm.Print_Area" localSheetId="3">'Sch A - Depreciation'!$A$1:$I$39</definedName>
    <definedName name="_xlnm.Print_Area" localSheetId="4">'Sch B - Debtors'!$A$1:$D$760</definedName>
    <definedName name="_xlnm.Print_Area" localSheetId="5">'Sch C - Creditors'!$A$1:$D$89</definedName>
    <definedName name="_xlnm.Print_Area" localSheetId="6">'Sch D - Loans'!$A$1:$C$72</definedName>
    <definedName name="_xlnm.Print_Area" localSheetId="7">'Sch E - Income Tax'!$A$1:$E$50</definedName>
    <definedName name="_xlnm.Print_Area" localSheetId="8">'Sch F - GST Sales Reco'!$A$1:$G$46</definedName>
    <definedName name="_xlnm.Print_Area" localSheetId="9">'Sch G - ESI'!$A$1:$E$40</definedName>
    <definedName name="_xlnm.Print_Area" localSheetId="10">'Sch H - Partner Remuneration'!$A$1:$C$35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9" i="10" l="1"/>
  <c r="C19" i="10"/>
  <c r="B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F19" i="9"/>
  <c r="E21" i="9" s="1"/>
  <c r="E23" i="9" s="1"/>
  <c r="D19" i="9"/>
  <c r="C19" i="9"/>
  <c r="B19" i="9"/>
  <c r="E18" i="9"/>
  <c r="G18" i="9" s="1"/>
  <c r="E17" i="9"/>
  <c r="G17" i="9" s="1"/>
  <c r="E16" i="9"/>
  <c r="G16" i="9" s="1"/>
  <c r="E15" i="9"/>
  <c r="G15" i="9" s="1"/>
  <c r="E14" i="9"/>
  <c r="G14" i="9" s="1"/>
  <c r="E13" i="9"/>
  <c r="G13" i="9" s="1"/>
  <c r="E12" i="9"/>
  <c r="G12" i="9" s="1"/>
  <c r="E11" i="9"/>
  <c r="G11" i="9" s="1"/>
  <c r="E10" i="9"/>
  <c r="G10" i="9" s="1"/>
  <c r="E9" i="9"/>
  <c r="G9" i="9" s="1"/>
  <c r="E8" i="9"/>
  <c r="G8" i="9" s="1"/>
  <c r="E7" i="9"/>
  <c r="E32" i="8"/>
  <c r="D32" i="8"/>
  <c r="E19" i="8"/>
  <c r="E11" i="8"/>
  <c r="C54" i="7"/>
  <c r="C12" i="7"/>
  <c r="D68" i="6"/>
  <c r="D69" i="6" s="1"/>
  <c r="C68" i="6"/>
  <c r="D739" i="5"/>
  <c r="C739" i="5"/>
  <c r="C740" i="5" s="1"/>
  <c r="H19" i="4"/>
  <c r="G19" i="4"/>
  <c r="F19" i="4"/>
  <c r="E10" i="4"/>
  <c r="D10" i="4"/>
  <c r="C10" i="4"/>
  <c r="B10" i="4"/>
  <c r="H9" i="4"/>
  <c r="F9" i="4"/>
  <c r="I9" i="4" s="1"/>
  <c r="H8" i="4"/>
  <c r="F8" i="4"/>
  <c r="I8" i="4" s="1"/>
  <c r="H7" i="4"/>
  <c r="H10" i="4" s="1"/>
  <c r="F7" i="4"/>
  <c r="C197" i="3"/>
  <c r="B197" i="3"/>
  <c r="C191" i="3"/>
  <c r="B191" i="3"/>
  <c r="C170" i="3"/>
  <c r="B170" i="3"/>
  <c r="C164" i="3"/>
  <c r="B164" i="3"/>
  <c r="C156" i="3"/>
  <c r="B156" i="3"/>
  <c r="C150" i="3"/>
  <c r="B150" i="3"/>
  <c r="C142" i="3"/>
  <c r="B142" i="3"/>
  <c r="C135" i="3"/>
  <c r="B135" i="3"/>
  <c r="C128" i="3"/>
  <c r="B128" i="3"/>
  <c r="C122" i="3"/>
  <c r="B122" i="3"/>
  <c r="C116" i="3"/>
  <c r="B116" i="3"/>
  <c r="E25" i="9" s="1"/>
  <c r="C109" i="3"/>
  <c r="B109" i="3"/>
  <c r="C102" i="3"/>
  <c r="B102" i="3"/>
  <c r="C96" i="3"/>
  <c r="B96" i="3"/>
  <c r="C86" i="3"/>
  <c r="B86" i="3"/>
  <c r="C79" i="3"/>
  <c r="B79" i="3"/>
  <c r="C73" i="3"/>
  <c r="B73" i="3"/>
  <c r="C64" i="3"/>
  <c r="B64" i="3"/>
  <c r="C58" i="3"/>
  <c r="B58" i="3"/>
  <c r="C47" i="3"/>
  <c r="B47" i="3"/>
  <c r="C41" i="3"/>
  <c r="B41" i="3"/>
  <c r="C34" i="3"/>
  <c r="B34" i="3"/>
  <c r="D23" i="2"/>
  <c r="C23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D20" i="2" s="1"/>
  <c r="C12" i="2"/>
  <c r="C20" i="2" s="1"/>
  <c r="D8" i="2"/>
  <c r="C8" i="2"/>
  <c r="D7" i="2"/>
  <c r="D9" i="2" s="1"/>
  <c r="D22" i="2" s="1"/>
  <c r="C7" i="2"/>
  <c r="C9" i="2" s="1"/>
  <c r="C22" i="2" s="1"/>
  <c r="D27" i="1"/>
  <c r="C27" i="1"/>
  <c r="D26" i="1"/>
  <c r="C26" i="1"/>
  <c r="D25" i="1"/>
  <c r="C25" i="1"/>
  <c r="D24" i="1"/>
  <c r="C24" i="1"/>
  <c r="D23" i="1"/>
  <c r="C23" i="1"/>
  <c r="D21" i="1"/>
  <c r="D28" i="1" s="1"/>
  <c r="C21" i="1"/>
  <c r="C28" i="1" s="1"/>
  <c r="D16" i="1"/>
  <c r="C16" i="1"/>
  <c r="D15" i="1"/>
  <c r="C15" i="1"/>
  <c r="D14" i="1"/>
  <c r="C14" i="1"/>
  <c r="D13" i="1"/>
  <c r="C13" i="1"/>
  <c r="D11" i="1"/>
  <c r="C11" i="1"/>
  <c r="E19" i="9" l="1"/>
  <c r="E24" i="9" s="1"/>
  <c r="G7" i="9"/>
  <c r="G19" i="9" s="1"/>
  <c r="F10" i="4"/>
  <c r="I7" i="4"/>
  <c r="I10" i="4" s="1"/>
  <c r="C13" i="11"/>
  <c r="C8" i="11"/>
  <c r="B13" i="11"/>
  <c r="B8" i="11"/>
  <c r="C7" i="11"/>
  <c r="C9" i="11" s="1"/>
  <c r="D24" i="2"/>
  <c r="C24" i="2"/>
  <c r="B7" i="11"/>
  <c r="B9" i="11" s="1"/>
  <c r="C10" i="11" l="1"/>
  <c r="C11" i="11"/>
  <c r="D27" i="2"/>
  <c r="C27" i="2"/>
  <c r="B10" i="11"/>
  <c r="B11" i="11"/>
  <c r="C12" i="11" l="1"/>
  <c r="C14" i="11" s="1"/>
  <c r="B12" i="11"/>
  <c r="B14" i="11" s="1"/>
  <c r="B20" i="3"/>
  <c r="B23" i="3" s="1"/>
  <c r="D28" i="2"/>
  <c r="C20" i="3" s="1"/>
  <c r="C23" i="3" s="1"/>
  <c r="D9" i="1" s="1"/>
  <c r="D17" i="1" s="1"/>
  <c r="G8" i="1" s="1"/>
  <c r="B11" i="3"/>
  <c r="B14" i="3" s="1"/>
  <c r="C28" i="2"/>
  <c r="C11" i="3" s="1"/>
  <c r="C14" i="3" s="1"/>
  <c r="C9" i="1" s="1"/>
  <c r="C17" i="1" s="1"/>
  <c r="F8" i="1" s="1"/>
</calcChain>
</file>

<file path=xl/sharedStrings.xml><?xml version="1.0" encoding="utf-8"?>
<sst xmlns="http://schemas.openxmlformats.org/spreadsheetml/2006/main" count="1486" uniqueCount="1128">
  <si>
    <t>M/S SHREE GANESHAY TRADERS</t>
  </si>
  <si>
    <t>(A Partnership Firm)</t>
  </si>
  <si>
    <t>11/72 Dakshinpuri, New Delhi – 110062  |  PAN: ACJFS4485L  |  MSME: UDYAM-DL-08-0038171</t>
  </si>
  <si>
    <t>Balance Sheet as at 31st March 2026</t>
  </si>
  <si>
    <t>(Amount in ₹)</t>
  </si>
  <si>
    <t>Particulars</t>
  </si>
  <si>
    <t>Note No.</t>
  </si>
  <si>
    <t>As at
31.03.2026</t>
  </si>
  <si>
    <t>As at
31.03.2025</t>
  </si>
  <si>
    <t>I.  SOURCES OF FUNDS (EQUITY AND LIABILITIES)</t>
  </si>
  <si>
    <t>Check (L – A)</t>
  </si>
  <si>
    <t xml:space="preserve">   1. Partners' Funds</t>
  </si>
  <si>
    <t xml:space="preserve">        Partners' Capital Accounts</t>
  </si>
  <si>
    <t xml:space="preserve">   2. Non-Current Liabilities</t>
  </si>
  <si>
    <t xml:space="preserve">        Long-term Borrowings – Unsecured Loans</t>
  </si>
  <si>
    <t xml:space="preserve">   3. Current Liabilities</t>
  </si>
  <si>
    <t xml:space="preserve">        Short-term Borrowings</t>
  </si>
  <si>
    <t xml:space="preserve">        Trade Payables</t>
  </si>
  <si>
    <t xml:space="preserve">        Other Current Liabilities</t>
  </si>
  <si>
    <t xml:space="preserve">        Short-term Provisions</t>
  </si>
  <si>
    <t xml:space="preserve">  TOTAL</t>
  </si>
  <si>
    <t>II. APPLICATION OF FUNDS (ASSETS)</t>
  </si>
  <si>
    <t xml:space="preserve">   1. Non-Current Assets</t>
  </si>
  <si>
    <t xml:space="preserve">        Property, Plant &amp; Equipment</t>
  </si>
  <si>
    <t xml:space="preserve">   2. Current Assets</t>
  </si>
  <si>
    <t xml:space="preserve">        Inventories</t>
  </si>
  <si>
    <t xml:space="preserve">        Trade Receivables</t>
  </si>
  <si>
    <t xml:space="preserve">        Cash and Cash Equivalents</t>
  </si>
  <si>
    <t xml:space="preserve">        Short-term Loans and Advances</t>
  </si>
  <si>
    <t xml:space="preserve">        Other Current Assets</t>
  </si>
  <si>
    <t>Significant Accounting Policies and Notes to Accounts – Note 24. The notes and schedules form an integral part of the financial statements.</t>
  </si>
  <si>
    <t>As per our report of even date attached</t>
  </si>
  <si>
    <t>For and on behalf of</t>
  </si>
  <si>
    <t>For G R B &amp; Co.</t>
  </si>
  <si>
    <t>Chartered Accountants</t>
  </si>
  <si>
    <t>FRN: 040755N</t>
  </si>
  <si>
    <t>____________________</t>
  </si>
  <si>
    <t>Vivek Gupta</t>
  </si>
  <si>
    <t>CA Roopali Garg</t>
  </si>
  <si>
    <t>Partner</t>
  </si>
  <si>
    <t>M. No. 570376</t>
  </si>
  <si>
    <t>UDIN: ____________________</t>
  </si>
  <si>
    <t>Durga Gupta</t>
  </si>
  <si>
    <t>Place: New Delhi</t>
  </si>
  <si>
    <t>Date: ____________</t>
  </si>
  <si>
    <t>Statement of Profit &amp; Loss for the year ended 31st March 2026</t>
  </si>
  <si>
    <t>Year ended
31.03.2026</t>
  </si>
  <si>
    <t>Year ended
31.03.2025</t>
  </si>
  <si>
    <t>I.   Revenue from Operations</t>
  </si>
  <si>
    <t>II.  Other Income</t>
  </si>
  <si>
    <t>III. Total Income (I + II)</t>
  </si>
  <si>
    <t>IV.  Expenses</t>
  </si>
  <si>
    <t xml:space="preserve">    Purchases of Stock-in-Trade</t>
  </si>
  <si>
    <t xml:space="preserve">    Changes in Inventories of Stock-in-Trade</t>
  </si>
  <si>
    <t xml:space="preserve">    Direct Expenses</t>
  </si>
  <si>
    <t xml:space="preserve">    Employee Benefit Expenses</t>
  </si>
  <si>
    <t xml:space="preserve">    Remuneration to Partners</t>
  </si>
  <si>
    <t xml:space="preserve">    Finance Costs</t>
  </si>
  <si>
    <t xml:space="preserve">    Depreciation</t>
  </si>
  <si>
    <t xml:space="preserve">    Other Expenses</t>
  </si>
  <si>
    <t>Total Expenses (IV)</t>
  </si>
  <si>
    <t>V.   Profit before Tax (III – IV)</t>
  </si>
  <si>
    <t>VI.  Tax Expense – Current Tax</t>
  </si>
  <si>
    <t>VII. Profit after Tax (V – VI)</t>
  </si>
  <si>
    <t>Profit after tax transferred to Partners' Capital Accounts:</t>
  </si>
  <si>
    <t xml:space="preserve">    Vivek Gupta (80%)</t>
  </si>
  <si>
    <t xml:space="preserve">    Durga Gupta (20%)</t>
  </si>
  <si>
    <t>Notes forming part of the Financial Statements for the year ended 31st March 2026</t>
  </si>
  <si>
    <t>Note 1: Partners' Capital Accounts</t>
  </si>
  <si>
    <t>Year ended 31.03.2026</t>
  </si>
  <si>
    <t xml:space="preserve">    Opening Balance</t>
  </si>
  <si>
    <t xml:space="preserve">    Add: Capital Introduced during the year</t>
  </si>
  <si>
    <t xml:space="preserve">    Add: Share of Net Profit after Tax (80% : 20%)</t>
  </si>
  <si>
    <t xml:space="preserve">    Less: Drawings</t>
  </si>
  <si>
    <t xml:space="preserve">    Add / (Less): Round Off</t>
  </si>
  <si>
    <t>Closing Balance</t>
  </si>
  <si>
    <t>Year ended 31.03.2025</t>
  </si>
  <si>
    <t>Profit after tax is shared between the partners in the ratio of 80:20 (Vivek Gupta : Durga Gupta). Capital balances are rounded off to the nearest rupee.</t>
  </si>
  <si>
    <t>Note 2: Long-term Borrowings – Unsecured Loans  (Refer Schedule D)</t>
  </si>
  <si>
    <t xml:space="preserve">    V R Traders</t>
  </si>
  <si>
    <t xml:space="preserve">    Ratan Agarwal</t>
  </si>
  <si>
    <t xml:space="preserve">    Bajaj Finance</t>
  </si>
  <si>
    <t xml:space="preserve">    Partners' Loan</t>
  </si>
  <si>
    <t>Total</t>
  </si>
  <si>
    <t>Previous year total of ₹21,17,640 is as per the audited Balance Sheet for FY 2024-25, which excluded the V R Traders balance of ₹5,500 shown therein.</t>
  </si>
  <si>
    <t>Note 3: Short-term Borrowings</t>
  </si>
  <si>
    <t xml:space="preserve">    Bank Overdraft – ICICI Bank Ltd.</t>
  </si>
  <si>
    <t>Note 4: Trade Payables  (Refer Schedule C)</t>
  </si>
  <si>
    <t xml:space="preserve">    Sundry Creditors – Suppliers</t>
  </si>
  <si>
    <t>Note 5: Other Current Liabilities</t>
  </si>
  <si>
    <t xml:space="preserve">    TDS Payable – u/s 194Q</t>
  </si>
  <si>
    <t xml:space="preserve">    TDS Payable – u/s 194T (Partners' Salary)</t>
  </si>
  <si>
    <t xml:space="preserve">    GST Payable</t>
  </si>
  <si>
    <t xml:space="preserve">    ESIC Payable</t>
  </si>
  <si>
    <t xml:space="preserve">    Salary Payable</t>
  </si>
  <si>
    <t xml:space="preserve">    Audit Fees Payable</t>
  </si>
  <si>
    <t>Note 6: Short-term Provisions  (Refer Schedule E)</t>
  </si>
  <si>
    <t xml:space="preserve">    Provision for Income Tax (net of Advance Tax &amp; TDS)</t>
  </si>
  <si>
    <t>FY 2025-26: Provision ₹3,38,416 less Advance Tax ₹2,25,000 less TDS ₹39,561 = ₹73,855.</t>
  </si>
  <si>
    <t>Note 7: Property, Plant &amp; Equipment (Net Block)  (Refer Schedule A)</t>
  </si>
  <si>
    <t xml:space="preserve">    Plant &amp; Machinery (incl. vehicles, mobiles &amp; appliances)</t>
  </si>
  <si>
    <t xml:space="preserve">    Furniture &amp; Fixtures</t>
  </si>
  <si>
    <t xml:space="preserve">    Computers (incl. Software)</t>
  </si>
  <si>
    <t>Note 8: Inventories</t>
  </si>
  <si>
    <t xml:space="preserve">    Closing Stock of Traded Goods</t>
  </si>
  <si>
    <t>Closing stock is as taken, valued and certified by the Partners, valued at cost or net realisable value, whichever is lower.</t>
  </si>
  <si>
    <t>Note 9: Trade Receivables (Unsecured, considered good)  (Refer Schedule B)</t>
  </si>
  <si>
    <t xml:space="preserve">    Sundry Debtors</t>
  </si>
  <si>
    <t>Note 10: Cash and Cash Equivalents</t>
  </si>
  <si>
    <t xml:space="preserve">    Cash in Hand</t>
  </si>
  <si>
    <t>Balances with Banks:</t>
  </si>
  <si>
    <t xml:space="preserve">    State Bank of India</t>
  </si>
  <si>
    <t xml:space="preserve">    Kotak Mahindra Bank</t>
  </si>
  <si>
    <t xml:space="preserve">    Bank Balances (total – previous year)</t>
  </si>
  <si>
    <t>Note 11: Short-term Loans and Advances (Unsecured, considered good)  (Refer Schedule D)</t>
  </si>
  <si>
    <t xml:space="preserve">    Other Loans &amp; Advances (incl. staff advances &amp; rent in advance)</t>
  </si>
  <si>
    <t>Note 12: Other Current Assets</t>
  </si>
  <si>
    <t xml:space="preserve">    Advances / Deposits</t>
  </si>
  <si>
    <t xml:space="preserve">    GST Input Credit</t>
  </si>
  <si>
    <t>Rent in advance of ₹57,000 is included in Loans &amp; Advances (Note 11) in the current year.</t>
  </si>
  <si>
    <t>Note 13: Revenue from Operations  (Refer Schedule F)</t>
  </si>
  <si>
    <t xml:space="preserve">    Sale of Traded Goods</t>
  </si>
  <si>
    <t>Note 14: Other Income</t>
  </si>
  <si>
    <t xml:space="preserve">    Other Income</t>
  </si>
  <si>
    <t>Note 15: Purchases of Stock-in-Trade</t>
  </si>
  <si>
    <t xml:space="preserve">    Purchases</t>
  </si>
  <si>
    <t>Note 16: Changes in Inventories of Stock-in-Trade</t>
  </si>
  <si>
    <t xml:space="preserve">    Opening Stock</t>
  </si>
  <si>
    <t xml:space="preserve">    Less: Closing Stock</t>
  </si>
  <si>
    <t>(Increase) / Decrease</t>
  </si>
  <si>
    <t>Note 17: Direct Expenses</t>
  </si>
  <si>
    <t xml:space="preserve">    Labour Charges</t>
  </si>
  <si>
    <t xml:space="preserve">    Transportation Charges</t>
  </si>
  <si>
    <t>Note 18: Employee Benefit Expenses  (Refer Schedule G)</t>
  </si>
  <si>
    <t xml:space="preserve">    Salary Expenses</t>
  </si>
  <si>
    <t xml:space="preserve">    Staff Welfare Expenses</t>
  </si>
  <si>
    <t xml:space="preserve">    ESI – Employer's Contribution</t>
  </si>
  <si>
    <t>Note 19: Remuneration to Partners  (Refer Schedule H)</t>
  </si>
  <si>
    <t xml:space="preserve">    Salary to Partners</t>
  </si>
  <si>
    <t>Remuneration is within the limit prescribed u/s 40(b)(v) of the Income-tax Act, 1961.</t>
  </si>
  <si>
    <t>Note 20: Finance Costs</t>
  </si>
  <si>
    <t xml:space="preserve">    Interest Expenses</t>
  </si>
  <si>
    <t xml:space="preserve">    Bank Charges</t>
  </si>
  <si>
    <t>Note 21: Depreciation  (Refer Schedule A)</t>
  </si>
  <si>
    <t xml:space="preserve">    Depreciation on Property, Plant &amp; Equipment</t>
  </si>
  <si>
    <t>Note 22: Other Expenses</t>
  </si>
  <si>
    <t xml:space="preserve">    Electricity Charges</t>
  </si>
  <si>
    <t xml:space="preserve">    Repair &amp; Maintenance</t>
  </si>
  <si>
    <t xml:space="preserve">    Rent</t>
  </si>
  <si>
    <t xml:space="preserve">    Discount Allowed</t>
  </si>
  <si>
    <t xml:space="preserve">    Telephone &amp; Internet Expenses</t>
  </si>
  <si>
    <t xml:space="preserve">    Vehicle Running &amp; Maintenance</t>
  </si>
  <si>
    <t xml:space="preserve">    Insurance Expenses</t>
  </si>
  <si>
    <t xml:space="preserve">    Bad Debts</t>
  </si>
  <si>
    <t xml:space="preserve">    Professional Expenses</t>
  </si>
  <si>
    <t xml:space="preserve">    Office Expenses</t>
  </si>
  <si>
    <t xml:space="preserve">    Audit Fees</t>
  </si>
  <si>
    <t xml:space="preserve">    Scrap Expenses</t>
  </si>
  <si>
    <t xml:space="preserve">    Business Promotion</t>
  </si>
  <si>
    <t xml:space="preserve">    Marketing Expenses</t>
  </si>
  <si>
    <t xml:space="preserve">    Printing &amp; Stationery</t>
  </si>
  <si>
    <t xml:space="preserve">    Misc. Expenses</t>
  </si>
  <si>
    <t>Note 23: Tax Expense  (Refer Schedule E)</t>
  </si>
  <si>
    <t xml:space="preserve">    Current Tax – Provision for Income Tax</t>
  </si>
  <si>
    <t>Note 24: Significant Accounting Policies and Other Notes</t>
  </si>
  <si>
    <t>1.  Basis of preparation: The financial statements of the partnership firm are prepared under the historical cost convention on accrual basis, in accordance with generally accepted accounting principles in India.</t>
  </si>
  <si>
    <t>2.  Revenue recognition: Sales are recognised on transfer of goods to customers and are stated net of GST, returns and trade discounts. Sales have been reconciled with GST returns (Schedule F).</t>
  </si>
  <si>
    <t>3.  Inventories: Stock-in-trade is valued at cost or net realisable value, whichever is lower, as taken, valued and certified by the Partners.</t>
  </si>
  <si>
    <t>4.  Property, plant &amp; equipment: Stated at cost less depreciation. Depreciation is provided on the Written Down Value method at rates prescribed under Section 32 of the Income-tax Act, 1961 (Schedule A).</t>
  </si>
  <si>
    <t>5.  Partners' remuneration and profit sharing: Remuneration is paid as per the partnership deed and is within the limit of Section 40(b) (Schedule H). Profit after tax is shared in the ratio 80:20.</t>
  </si>
  <si>
    <t>6.  Taxation: Provision for income tax is made on the taxable income of the firm for the year; advance tax and TDS are adjusted against the provision (Schedule E).</t>
  </si>
  <si>
    <t>7.  Balances of trade receivables, trade payables, loans and advances are subject to confirmation and reconciliation, if any.</t>
  </si>
  <si>
    <t>8.  Figures in the Balance Sheet and related notes are rounded off to the nearest rupee. Previous year figures have been regrouped / rearranged wherever necessary.</t>
  </si>
  <si>
    <t>Schedule A – Depreciation as per Section 32 of the Income-tax Act, 1961 (FY 2025-26, AY 2026-27)</t>
  </si>
  <si>
    <t>Block of Assets</t>
  </si>
  <si>
    <t>WDV as on
01.04.2025</t>
  </si>
  <si>
    <t>Additions
≥ 180 days</t>
  </si>
  <si>
    <t>Additions
&lt; 180 days</t>
  </si>
  <si>
    <t>Deletions</t>
  </si>
  <si>
    <t>Total as on
31.03.2026</t>
  </si>
  <si>
    <t>Rate</t>
  </si>
  <si>
    <t>Depreciation
for the year</t>
  </si>
  <si>
    <t>WDV as on
31.03.2026</t>
  </si>
  <si>
    <t>Plant &amp; Machinery</t>
  </si>
  <si>
    <t>Computers (including Software)</t>
  </si>
  <si>
    <t>Furniture and Fittings</t>
  </si>
  <si>
    <t>GRAND TOTAL</t>
  </si>
  <si>
    <t>Details of Additions during the year</t>
  </si>
  <si>
    <t>Supplier</t>
  </si>
  <si>
    <t>Invoice No.</t>
  </si>
  <si>
    <t>Invoice Date</t>
  </si>
  <si>
    <t>Asset</t>
  </si>
  <si>
    <t>Block</t>
  </si>
  <si>
    <t>Taxable Value</t>
  </si>
  <si>
    <t>GST</t>
  </si>
  <si>
    <t>Capitalised</t>
  </si>
  <si>
    <t>Remarks</t>
  </si>
  <si>
    <t>Darshita Aashiyana Pvt. Ltd.</t>
  </si>
  <si>
    <t>DED4-198207</t>
  </si>
  <si>
    <t>30-07-2025</t>
  </si>
  <si>
    <t>Mobile</t>
  </si>
  <si>
    <t>P&amp;M</t>
  </si>
  <si>
    <t>ITC availed</t>
  </si>
  <si>
    <t>Pashupati Motors</t>
  </si>
  <si>
    <t>10376AG25S1649</t>
  </si>
  <si>
    <t>31-07-2025</t>
  </si>
  <si>
    <t>Bike</t>
  </si>
  <si>
    <t>GST capitalised</t>
  </si>
  <si>
    <t>10376BG25P562</t>
  </si>
  <si>
    <t>Bike (accessories)</t>
  </si>
  <si>
    <t>Clicktech Retail Pvt. Ltd.</t>
  </si>
  <si>
    <t>DEL4-1339336</t>
  </si>
  <si>
    <t>02-08-2025</t>
  </si>
  <si>
    <t>Laptop</t>
  </si>
  <si>
    <t>Computers</t>
  </si>
  <si>
    <t>All additions were put to use for more than 180 days during the year; full rate of depreciation applied.</t>
  </si>
  <si>
    <t>Schedule B – Sundry Debtors as on 31st March 2026</t>
  </si>
  <si>
    <t>S. No.</t>
  </si>
  <si>
    <t>Name of Party</t>
  </si>
  <si>
    <t>Debit Balance</t>
  </si>
  <si>
    <t>Credit Balance</t>
  </si>
  <si>
    <t>7 SIS NORTH EAST STORE SAFDARJUNG</t>
  </si>
  <si>
    <t>9 TEN STORE (SANGAM VIHAR) MADANGIR</t>
  </si>
  <si>
    <t>A 2 Z MEDICOS MUNIRKA</t>
  </si>
  <si>
    <t>A ONE TRADERS INA</t>
  </si>
  <si>
    <t>A&amp;M GROCERY STORE BADARPUR,PRAHLA</t>
  </si>
  <si>
    <t>AAAS FOODS AND NATURES SOUL P LAGPAT NAGAR</t>
  </si>
  <si>
    <t>AAKASH MEDICARE (AMAR COLONY) TUGHLAKABAD</t>
  </si>
  <si>
    <t>AAP KA BAZAR DWARIKA</t>
  </si>
  <si>
    <t>AAP KA BAZAR MAHAVIR ENCLAVE</t>
  </si>
  <si>
    <t>AB CRESCENT AMAR COLONY</t>
  </si>
  <si>
    <t>ACCELERATE PRODUCTS VENTURES KAILASH COLONY</t>
  </si>
  <si>
    <t>ACCELERATE PRODUCTX VENTURES LAJPAT NAGAR</t>
  </si>
  <si>
    <t>ADARSH MART (MALVIYA NGR.) MALVIYA NAGAR</t>
  </si>
  <si>
    <t>ADISHTA MARKETING PVT.LTD SAFDARJUNG</t>
  </si>
  <si>
    <t>AGGARWAL &amp; SONS'S (MADANGIR) MADANGIR</t>
  </si>
  <si>
    <t>AGGARWAL AGENCIES (HAUZ KHAS) HAUZ KHAS</t>
  </si>
  <si>
    <t>AGGARWAL DEPARTMENTAL (S.J.E) SAFDARJUNG</t>
  </si>
  <si>
    <t>AGGARWAL GEN. STORE (A.NGR) HAUZ KHAS</t>
  </si>
  <si>
    <t>AGGARWAL GROCERY(SANGAM VIHAR SANGAM VIHAR</t>
  </si>
  <si>
    <t>AGGARWAL MEDICAL STORE PVT. TUGHLAKABAD</t>
  </si>
  <si>
    <t>AGGARWAL STORE (SANT NAGAR) GK-1,</t>
  </si>
  <si>
    <t>AGGARWAL TRADERS (GP) GOVINDPURI</t>
  </si>
  <si>
    <t>AHUJA STORE (JOR BAGH) INA</t>
  </si>
  <si>
    <t>AIRPORT SERVICE STATION GK-2</t>
  </si>
  <si>
    <t>AKASH AYURVEDIC (MADANGIR) MADANGIR</t>
  </si>
  <si>
    <t>ALL INDIA PHARMACY (NEHRU N) GARHI SANT NGR</t>
  </si>
  <si>
    <t>ALLIED FRUIT &amp; FLORISTS (KHAN INA</t>
  </si>
  <si>
    <t>ALOK D MART (V.KUNJ) VASANT KUNJ</t>
  </si>
  <si>
    <t>AMAR CHAND FOOD (BHOGAL) LAGPAT NAGAR</t>
  </si>
  <si>
    <t>AMBEY HEALTHCARE CHEMIST EAST OF KAILASH</t>
  </si>
  <si>
    <t>AMRIT STORE (MALVIYA NAGAR) MALVIYA NAGAR</t>
  </si>
  <si>
    <t>AMRITSARIAN DI HATTI LAGPAT NAGAR</t>
  </si>
  <si>
    <t>AMRITSARIAN DI HATTI (KOTLA) INA</t>
  </si>
  <si>
    <t>ANAND GENERAL STORE (KHAN MKT INA</t>
  </si>
  <si>
    <t>ANAND MART NEB SARAI</t>
  </si>
  <si>
    <t>ANAND SUPER MART (V.KUNJ) VASANT KUNJ</t>
  </si>
  <si>
    <t>ANAYA TRADING BAPROLA</t>
  </si>
  <si>
    <t>ANGOORIS MART (VASANT KUNJ) VASANT KUNJ</t>
  </si>
  <si>
    <t>ANHAD FOOD (LAJPAT NAGAR) LAGPAT NAGAR</t>
  </si>
  <si>
    <t>ANIL RAWAT TUGHLAKABAD</t>
  </si>
  <si>
    <t>ANNAPURNA GEN. STORE GK-1,</t>
  </si>
  <si>
    <t>ANSHU STORE (SARITA VIHAR) SARITA V</t>
  </si>
  <si>
    <t>APNA BAZAR (NEW) MADANGIR</t>
  </si>
  <si>
    <t>APPLIANCES INDIA (HAUZ KHAS) HAUZ KHAS</t>
  </si>
  <si>
    <t>ARCHNA PASTY (SATYA NIKETAN) MOTI BAGH</t>
  </si>
  <si>
    <t>ARJUN DASS ENTERPRISES HAUZ KHAS</t>
  </si>
  <si>
    <t>ARJUN FRUITS &amp; VEG DAIRY MALVIYA NAGAR</t>
  </si>
  <si>
    <t>ARORA DEPARMENTAL STORE (V K) VASANT VIHAR</t>
  </si>
  <si>
    <t>ARS GROUP (JAITPUR) BADARPUR,PRAHLA</t>
  </si>
  <si>
    <t>ARUN JI PINTOLA TUGHLAKABAD</t>
  </si>
  <si>
    <t>ARUN STORE (METHAPUR) BADARPUR,PRAHLA</t>
  </si>
  <si>
    <t>ARVIND JI PRO NATURE TUGHLAKABAD</t>
  </si>
  <si>
    <t>ASHA THAGKHUL STORE ARJUN NGR SUFDU</t>
  </si>
  <si>
    <t>ASHU STORE SARITA VIHAR</t>
  </si>
  <si>
    <t>AURA BAKERY BADARPUR,PRAHLA</t>
  </si>
  <si>
    <t>AUTOCENTRE IN &amp; OUT DEFENCE COLONY</t>
  </si>
  <si>
    <t>B.P RETAIL BADARPUR,PRAHLA</t>
  </si>
  <si>
    <t>B.R CHAWLA STORE MOTI BAGH</t>
  </si>
  <si>
    <t>BAJAJ STORE (L.P.N) LAJPAT NAGAR</t>
  </si>
  <si>
    <t>BAKE HOUSE (L.P.N) LAGPAT NAGAR</t>
  </si>
  <si>
    <t>BAL KISHAN DASS &amp; SONS. TUGHLAKABAD</t>
  </si>
  <si>
    <t>BALAJI SUPER STORE (DEOLI) MADANGIR</t>
  </si>
  <si>
    <t>BALAJI TRADE CORP. (AMAR C.) AMAR COLONY</t>
  </si>
  <si>
    <t>BALAJI WATER SUPPLIER(Y/SARAI YUSUF SARAI</t>
  </si>
  <si>
    <t>BALALJI DAILY NEED STORE (KOT TUGHLAKABAD</t>
  </si>
  <si>
    <t>BANARASI STORE (V.K) VASANT KUNJ</t>
  </si>
  <si>
    <t>BANSAL TRAD CASH YUSUF SARAI</t>
  </si>
  <si>
    <t>BANSAL VALUE BAZAR (BADARPUR) SARITA VIHAR</t>
  </si>
  <si>
    <t>BANSI WHOLESALE (KHANNA MKT) INA</t>
  </si>
  <si>
    <t>BARKAT RAM BRIJ LAL(KARBALA) INA</t>
  </si>
  <si>
    <t>BATRA BAKERS (MALVIYA NAGAR) MALVIYA NAGAR</t>
  </si>
  <si>
    <t>BEDROCK FOOD CO. PVT. LTD GOVINDPURI</t>
  </si>
  <si>
    <t>BENGAL SWEET CORNER HAUZ KHAS</t>
  </si>
  <si>
    <t>BHAGAT RAM TRADERS LAJPAT NAGAR</t>
  </si>
  <si>
    <t>BHAGATRAM OMPRKASH AGRO P.LTD LAJPAT NAGAR</t>
  </si>
  <si>
    <t>BHAGWATI SUPER MART (MADANGIR MADANGIR</t>
  </si>
  <si>
    <t>BHARAT STORE (MOTI BAGH) VASANT VIHAR</t>
  </si>
  <si>
    <t>BHUMIKA CHEMIST (C.R PARK) GK-2</t>
  </si>
  <si>
    <t>BIG ALMOND STORE (ALAKNANDA) GK-2</t>
  </si>
  <si>
    <t>BINDRA PROVISION STORE VASANT VIHAR</t>
  </si>
  <si>
    <t>BOMBAY FRUIT MART INA</t>
  </si>
  <si>
    <t>BREAD D BITES (V.V) VASANT VIHAR</t>
  </si>
  <si>
    <t>BRIGHT SUPER MARKET OKHLA</t>
  </si>
  <si>
    <t>BRIJWASI DAIRY (IGNO BUS STAN NEB SARAI</t>
  </si>
  <si>
    <t>BRIJWASI DAIRY (SANGAM VIHAR) SANGAM VIHAR</t>
  </si>
  <si>
    <t>BRIJWASI PANEER(KHANPUR) KHANPUR</t>
  </si>
  <si>
    <t>BRIJWASI STORE (JAITPUR) BADARPUR,PRAHLA</t>
  </si>
  <si>
    <t>BRITISH HIGH COMMISSION INA</t>
  </si>
  <si>
    <t>CAFE DOMA HIMAYUNPUR</t>
  </si>
  <si>
    <t>CAKE TOWN (RAJPURKHURD) SAKET</t>
  </si>
  <si>
    <t>CAR CARE CENTRE (LODHI RD) INA</t>
  </si>
  <si>
    <t>CASTLE CLOUD PVT.LTD. MAHIPALPUR</t>
  </si>
  <si>
    <t>CBR RETAILS PRIVATE LIMITED MUNIRKA</t>
  </si>
  <si>
    <t>CHACHE DI HATTI (NEW) MALVIYA NAGAR</t>
  </si>
  <si>
    <t>CHAUDHRY DAIRY (L.P.N) TUGHLAKABAD</t>
  </si>
  <si>
    <t>CHAWLA DRY FRUITS &amp; GROCERY AMAR COLONY</t>
  </si>
  <si>
    <t>CHHABRA NALL ART TATTOO MADANGIR</t>
  </si>
  <si>
    <t>CHIRAG MART (MADANGIR) MADANGIR</t>
  </si>
  <si>
    <t>CHOTE BHAI TUGHLAKABAD</t>
  </si>
  <si>
    <t>CITY OPTICS (SONIYA AGGARWAL) YUSUF SARAI</t>
  </si>
  <si>
    <t>CUREWAY MEDICOS (EOK) GARHI SANT NGR</t>
  </si>
  <si>
    <t>D.K MEDICOS (ASHRAM) ASHRAM</t>
  </si>
  <si>
    <t>DAILY NEED EXIM PVT LTD VASANT VIHAR</t>
  </si>
  <si>
    <t>DAIRY HOUSE (JAMRUDPUR) J GK1,LELARM</t>
  </si>
  <si>
    <t>DAVA INDIA GENRIC PHARMACY MADANGIR</t>
  </si>
  <si>
    <t>DEBTORS CONTROL ACCOUNT TUGHLAKABAD</t>
  </si>
  <si>
    <t>DEEP RETAIL (ROZANA BAZAR) CHATTERPUR</t>
  </si>
  <si>
    <t>DEEPAK DEPARTMENTAL STORE (V. VASANT KUNJ</t>
  </si>
  <si>
    <t>DEEPAK SGT TUGHLAKABAD</t>
  </si>
  <si>
    <t>DEFENCE STORE LAJPAT NAGAR</t>
  </si>
  <si>
    <t>DELHI FRUIT&amp; VEGITABLE GK-2</t>
  </si>
  <si>
    <t>DELHI STATE FRUIT &amp; VEGITABLE HAUZ KHAS</t>
  </si>
  <si>
    <t>DELHI STORE LAGPAT NAGAR</t>
  </si>
  <si>
    <t>DHANANJAY SGT TUGHLAKABAD</t>
  </si>
  <si>
    <t>DHINGRA CHEMIST (AMAR CLY.) TUGHLAKABAD</t>
  </si>
  <si>
    <t>DISCOUNT STORE CHATTERPUR</t>
  </si>
  <si>
    <t>DL RETAIL (ROZANA BAZAR) CHATTERPUR</t>
  </si>
  <si>
    <t>DRAGON SUPERMART TUGHLAKABAD</t>
  </si>
  <si>
    <t>DURGA DASS ZUBIN GUPTA INA</t>
  </si>
  <si>
    <t>DURGA MASALA STORE INA</t>
  </si>
  <si>
    <t>EARTH ORGANIC STORE GK-2</t>
  </si>
  <si>
    <t>ELENTA MART PVT. LTD. BAHADURGARH</t>
  </si>
  <si>
    <t>ELENTA MART PVT. LTD. GOHANA</t>
  </si>
  <si>
    <t>ELENTA MART PVT. LTD. JHAJJAR</t>
  </si>
  <si>
    <t>ELENTA MART PVT. LTD. KAMAL COLONY</t>
  </si>
  <si>
    <t>ELENTA MART PVT. LTD. SAMPLA</t>
  </si>
  <si>
    <t>ELENTA RETAIL PRIVATE LIMITED JHANG COLONY</t>
  </si>
  <si>
    <t>ELENTA RETAIL PVT. LTD. ROHTAK</t>
  </si>
  <si>
    <t>EMPIRE STORE INA</t>
  </si>
  <si>
    <t>EVERGREEN STORE (INA) INA</t>
  </si>
  <si>
    <t>EVERYDAY STORE (MALVIYA NAGAR MALVIYA NAGAR</t>
  </si>
  <si>
    <t>EVERYDAY SUPER MART (G.PARK) HAUZ KHAS</t>
  </si>
  <si>
    <t>FIRST CHOICE (SAKET)WRONG SAKET,</t>
  </si>
  <si>
    <t>FIRST CHOICE MART SAKET</t>
  </si>
  <si>
    <t>FOOD HILLZ (KALKA JI) KALKAJI</t>
  </si>
  <si>
    <t>FRESH AND FROZEN (VERMA BROS. SARITA VIHAR</t>
  </si>
  <si>
    <t>FRESH MART (S.J.E) HAUZ KHAS</t>
  </si>
  <si>
    <t>GAGANMAL &amp; SONS(LAJPAT NAGAR) LAJPAT NAGAR</t>
  </si>
  <si>
    <t>GARG SONS ( LEELA RAM) GK-1,</t>
  </si>
  <si>
    <t>GARG SUPER STORE (SUFDURJUNG) HAUZ KHAS</t>
  </si>
  <si>
    <t>GARG'S BROTHERS (KOTLA) INA</t>
  </si>
  <si>
    <t>GARHGANGA PANEER (KOTLA) DEFENCE COLONY</t>
  </si>
  <si>
    <t>GARHWALA PANEER BHANDAR (BDR) BADARPUR,PRAHLA</t>
  </si>
  <si>
    <t>GAURI SHANKAR &amp; SONS LAGPAT NAGAR</t>
  </si>
  <si>
    <t>GBVM HEALTHCARE LLP MOTI BAGH</t>
  </si>
  <si>
    <t>GC &amp; RV SERVICES DELHI</t>
  </si>
  <si>
    <t>GDEES SUPER MART SAKET</t>
  </si>
  <si>
    <t>GEOMETT BOX PRIVATE LIMITED APS COLONY</t>
  </si>
  <si>
    <t>GEOMETT BOX PRIVATE LIMITED DHAULA KUAN</t>
  </si>
  <si>
    <t>GEOMETT BOX PRIVATE LIMITED MEHRAULI</t>
  </si>
  <si>
    <t>GEOMETT BOX PRIVATE LIMITED OKHLA</t>
  </si>
  <si>
    <t>GEOMETT BOX PRIVATE LIMITED SUBROTO PARK</t>
  </si>
  <si>
    <t>GEOMETT BOX PRIVATE LIMITED VASANT KUNJ</t>
  </si>
  <si>
    <t>GLOBAL DINNER CHATTERPUR</t>
  </si>
  <si>
    <t>GO - GROCERIES (SOUTH EX.) DEFENCE COLONY</t>
  </si>
  <si>
    <t>GOGIA'S DEPARTMENTAL STORE INA</t>
  </si>
  <si>
    <t>GOLDEN BAKERY (LODHI RD.) INA</t>
  </si>
  <si>
    <t>GOPAL JI DAIRY (JAITPUR) TUGHLAKABAD</t>
  </si>
  <si>
    <t>GOURMET MANDI LLP (MOTI BAGH) VASANT VIHAR</t>
  </si>
  <si>
    <t>GOYAL PROVISION STORE (KOTLA) DEFENCE COLONY</t>
  </si>
  <si>
    <t>GOYAL STORE (MADANGIR) MADANGIR</t>
  </si>
  <si>
    <t>GOYAL STORE (SAROJANI NAGAR) SAROJNI NAGAR</t>
  </si>
  <si>
    <t>GPS TRADING (KOTLA) INA</t>
  </si>
  <si>
    <t>GREEN GROCER MEHRAULI</t>
  </si>
  <si>
    <t>GROCERY KING (CHATTERPUR) VASANT VIHAR</t>
  </si>
  <si>
    <t>GROVER NAMKEEN BHANDAR VASANT VIHAR</t>
  </si>
  <si>
    <t>GULMOHAR STORE (GULMOHAR PARK TUGHLAKABAD</t>
  </si>
  <si>
    <t>GULMOHAR STORE (GULMOHAR PARK YUSUF SARAI</t>
  </si>
  <si>
    <t>GUPTA DAIRY (S J E) HAUZ KHAS</t>
  </si>
  <si>
    <t>GUPTA GIFT GARDEN MADANGIR</t>
  </si>
  <si>
    <t>GUPTA JI &amp; SONS (DAKSHINPURI) TUGHLAKABAD</t>
  </si>
  <si>
    <t>GUPTA STORE (IIT CAMPUS) TUGHLAKABAD</t>
  </si>
  <si>
    <t>GUPTA TRADING CO. MEHRAULI</t>
  </si>
  <si>
    <t>GURUNANAK DEPT. STORE (M.NAGA MALVIYA NAGAR</t>
  </si>
  <si>
    <t>GURUNANAK STORE (LAJPAT) LAGPAT NAGAR</t>
  </si>
  <si>
    <t>GYMKHANA SERVICE STATION INA</t>
  </si>
  <si>
    <t>H P ENTERPRISES (LADO SARAI) MEHRAULI</t>
  </si>
  <si>
    <t>HANA HOSPITALITY PVT LTD ARJUN NGR SUFDU</t>
  </si>
  <si>
    <t>HARE KRISHNA MEDICOS KAILASH COLONY</t>
  </si>
  <si>
    <t>HARE KRISHNA TRADERS (GARHI) KAILASH COLONY</t>
  </si>
  <si>
    <t>HARISH JI NACHOS TUGHLAKABAD</t>
  </si>
  <si>
    <t>HARSH PROVISIONAL STORE (ARJU TUGHLAKABAD</t>
  </si>
  <si>
    <t>HARSHITA ENTERPRISES (MEHARAU TUGHLAKABAD</t>
  </si>
  <si>
    <t>HELLO CONFECTIONERY VASANT VIHAR</t>
  </si>
  <si>
    <t>HEMA ENTERPRISES CHATTERPUR</t>
  </si>
  <si>
    <t>HF FRESH (VSANAT KUNJ) VASANT KUNJ</t>
  </si>
  <si>
    <t>HF FRESH GANGA APARTMENT VASANT KUNJ</t>
  </si>
  <si>
    <t>HIMACHAL DAIRY INA</t>
  </si>
  <si>
    <t>HIMANSHU STORE JAITPUR</t>
  </si>
  <si>
    <t>HOME MART BADARPUR,PRAHLA</t>
  </si>
  <si>
    <t>HONESTLY ITALIAN PVT LTD VASANT KUNJ</t>
  </si>
  <si>
    <t>HONEY MONEY TOP (CHATTARPUR) VASANT VIHAR</t>
  </si>
  <si>
    <t>HONEY MONEY TOP (SARAI JULENA SARAI JULENA</t>
  </si>
  <si>
    <t>HONEY MONEY TOP (SEC-63) GURGAON MANESAR</t>
  </si>
  <si>
    <t>HUSSAIN JI JEWEL FARMER MADANGIR</t>
  </si>
  <si>
    <t>IBOYAIMA DELHI VENTURE HAUZ KHAS</t>
  </si>
  <si>
    <t>IN &amp; OUT (CHANKYAPURI) INA</t>
  </si>
  <si>
    <t>INDER STORE (I N A) INA</t>
  </si>
  <si>
    <t>ISIC WLFARE CANTEEN VASANT VIHAR</t>
  </si>
  <si>
    <t>J.P SUPER MART (TUGHLKABAD) GOVINDPURI</t>
  </si>
  <si>
    <t>JAGJYOTI HANDLOOM MALVIYA NAGAR</t>
  </si>
  <si>
    <t>JAGMOHAN HITKARY TUGHLAKABAD</t>
  </si>
  <si>
    <t>JAI BHAI HITKARY TUGHLAKABAD</t>
  </si>
  <si>
    <t>JAI DEV DEPARTMENTAL STORE R.K.PURAM</t>
  </si>
  <si>
    <t>JAI MAA KALKA STORE (AMAR CLY TUGHLAKABAD</t>
  </si>
  <si>
    <t>JAIN CONFECTIONERY (INA) INA</t>
  </si>
  <si>
    <t>JAIN STORE LAJPAT NAGAR</t>
  </si>
  <si>
    <t>JAIN TRADERS DAKSHINPURI</t>
  </si>
  <si>
    <t>JAMMU MAL LAL CHAND (M.NGR) MALVIYA NAGAR</t>
  </si>
  <si>
    <t>JAN KALYAN MEDICOS CONNAUGHT PLACE</t>
  </si>
  <si>
    <t>JANGID PATANJALI STORE SANGAM VIHAR</t>
  </si>
  <si>
    <t>JAY'S OVERSEAS (JANGPURA) LAGPAT NAGAR</t>
  </si>
  <si>
    <t>JEET UNCLE JI TUGHLAKABAD</t>
  </si>
  <si>
    <t>JHAMB DAIRY (GOVIND PURI) GOVINDPURI</t>
  </si>
  <si>
    <t>JINDAL STORE INA</t>
  </si>
  <si>
    <t>JINDAL STORE (SARITA VIHAR) TUGHLAKABAD</t>
  </si>
  <si>
    <t>JUNEJA CONFECTIONERY (AMAR CO AMAR COLONY</t>
  </si>
  <si>
    <t>K-2 KHANA KIRANA STORE CHATTERPUR</t>
  </si>
  <si>
    <t>KABIR STORE (KHIRKI EXTN.) TUGHLAKABAD</t>
  </si>
  <si>
    <t>KABUL FRUIT CORNER (I N A) INA</t>
  </si>
  <si>
    <t>KAKA FRUIT AND VEGETABLE (INA INA</t>
  </si>
  <si>
    <t>KAKA GENERAL STORE NEW LAGPAT NAGAR</t>
  </si>
  <si>
    <t>KALKA STORE GOVINDPURI</t>
  </si>
  <si>
    <t>KAMAL BAKERY(MALVIYA) MALVIYA NAGAR</t>
  </si>
  <si>
    <t>KANCHAN ENTERPRISES CHATTERPUR</t>
  </si>
  <si>
    <t>KANSAL GROCER PVT. LTD. SAKET</t>
  </si>
  <si>
    <t>KANT STORE (SDA) HAUZ KHAS</t>
  </si>
  <si>
    <t>KAPTON MEDICOS (EOK) GK-1,</t>
  </si>
  <si>
    <t>KASHMIR FRUIT CORNER GK-2</t>
  </si>
  <si>
    <t>KHAN STORE SAKET</t>
  </si>
  <si>
    <t>KHANDELWAL PRO.STORE (MOTI BA VASANT VIHAR</t>
  </si>
  <si>
    <t>KHUSHI PANEER BHANDAR BADARPUR,PRAHLA</t>
  </si>
  <si>
    <t>KING ENTERPRISES SAKET</t>
  </si>
  <si>
    <t>KING SWADESHI BAZAR (IGNOU) SAKET</t>
  </si>
  <si>
    <t>KIOSK INA</t>
  </si>
  <si>
    <t>KISAN MANDI MEGA MART PALAM</t>
  </si>
  <si>
    <t>KISAN MANDI MEGA MART PVT.LTD BHARAT VIHAR</t>
  </si>
  <si>
    <t>KISHAN MART INA</t>
  </si>
  <si>
    <t>KISHAN SONS (CHANKYAPURI) INA</t>
  </si>
  <si>
    <t>KK ENTERPRISES VASANT VIHAR</t>
  </si>
  <si>
    <t>KPG RESTURANT HIMYUNPUR</t>
  </si>
  <si>
    <t>KRISHA DAIRY PRODUCTS(WRONG) MADANGIR</t>
  </si>
  <si>
    <t>KRISHNA CONFECTIONERY INA</t>
  </si>
  <si>
    <t>KRISHNA DAIRY (SAROJNI NGR) INA</t>
  </si>
  <si>
    <t>KRISHNA DAIRY PRODUCTS DEVLI KHANPUR</t>
  </si>
  <si>
    <t>KRISHNA RETAIL (ROZANA BAZAR) BADARPUR,PRAHLA</t>
  </si>
  <si>
    <t>KRISHNA STORE (WRONG) SARITA VIHAR</t>
  </si>
  <si>
    <t>KRISHNA SUPER MART (MEHRAULI) VASANT VIHAR</t>
  </si>
  <si>
    <t>KRISHNA TRADERS (G.P NEW) TUGHLAKABAD</t>
  </si>
  <si>
    <t>KSK RETAILS VASANT VIHAR</t>
  </si>
  <si>
    <t>KWALITY GENERAL STORE (KHANNA INA</t>
  </si>
  <si>
    <t>KWIK GROCER VASANT VIHAR</t>
  </si>
  <si>
    <t>LALA BY NATURE (CHATARPUR) SAKET</t>
  </si>
  <si>
    <t>LAXMI CONFECTIONERY (BHOGAL) LAGPAT NAGAR</t>
  </si>
  <si>
    <t>LAXMI STORE (I I T) TUGHLAKABAD</t>
  </si>
  <si>
    <t>LGM HYPERMARKET RR HARYANA</t>
  </si>
  <si>
    <t>LOAN TO ROHIT RAWAL TUGHLAKABAD</t>
  </si>
  <si>
    <t>LUCKY GEN.STORE (I N A) INA</t>
  </si>
  <si>
    <t>M P CANTEEN SOUTH AVENUE TUGHLAKABAD</t>
  </si>
  <si>
    <t>M&amp;J'S SUPER MARCHE GK-1,</t>
  </si>
  <si>
    <t>M/S GOLDEN TIPS TEA CO.PVT LT OKHLA</t>
  </si>
  <si>
    <t>MAA AMBEY MEDICOS SAKET,NEB SARAI</t>
  </si>
  <si>
    <t>MAA VAISHNO PANEER (ASHRAM) LAGPAT NAGAR</t>
  </si>
  <si>
    <t>MADHAV ENTERPRISES (PALAM) MALVIYA NAGAR</t>
  </si>
  <si>
    <t>MAGIC TASTE TUGHLAKABAD</t>
  </si>
  <si>
    <t>MAGU &amp; SONS (G.P) GOVINDPURI</t>
  </si>
  <si>
    <t>MAHAJAN DEPARTMENTAL STORE LAGPAT NAGAR</t>
  </si>
  <si>
    <t>MAHAJAN ENTERPRISES (L.P.N) TUGHLAKABAD</t>
  </si>
  <si>
    <t>MAHAJAN GENERAL STORE (KALKA) W CR PARK, KALK</t>
  </si>
  <si>
    <t>MAHARAJA MEDICOS SAKET,NEB SARAI</t>
  </si>
  <si>
    <t>MAHESH DAIRY (SANWAL NAGAR) GK-1,</t>
  </si>
  <si>
    <t>MAHESHWARI GEN STORE (G.PURI) GOVINDPURI</t>
  </si>
  <si>
    <t>MALIK BROS (DEFENCE C) LAGPAT NAGAR</t>
  </si>
  <si>
    <t>MALIK SUPER STORE (JAMIYA) LAGPAT NAGAR</t>
  </si>
  <si>
    <t>MANGAT &amp; SONS (L.P.N) TUGHLAKABAD</t>
  </si>
  <si>
    <t>MANGAT RAM &amp; SONS. (BHOGAL) LAGPAT NAGAR</t>
  </si>
  <si>
    <t>MANGLA STORE (YUSUF SARAI) YUSUF SARAI</t>
  </si>
  <si>
    <t>MANTAN RETAIL PRIVATE LTD. VASANT VIHAR</t>
  </si>
  <si>
    <t>MANYA RETAIL (ROZANA BAZAR) KHANPUR</t>
  </si>
  <si>
    <t>MAQSOOD VEEBA TUGHLAKABAD</t>
  </si>
  <si>
    <t>MARCHE RETAIL PRIVATE LIMITED CHANAKYA PURI</t>
  </si>
  <si>
    <t>MARK SUPER STORE PVT. LTD.(N) LAGPAT NAGAR</t>
  </si>
  <si>
    <t>MARS INTERNATIONAL INDIA SALE HARYANA</t>
  </si>
  <si>
    <t>MASTER PANEER BHANDAR (G.P) GOVINDPURI</t>
  </si>
  <si>
    <t>MAX BAZAAR BURARI</t>
  </si>
  <si>
    <t>MAX BAZAR (AZADPUR) DELHI</t>
  </si>
  <si>
    <t>MAXIM'S BAKERS &amp; CONFECTIONER GK-1,</t>
  </si>
  <si>
    <t>MAYANK DELHI</t>
  </si>
  <si>
    <t>MEATYYY DELIGHTS VASANT VIHAR</t>
  </si>
  <si>
    <t>MEDI FRESH (V. KUNJ) TUGHLAKABAD</t>
  </si>
  <si>
    <t>MEDI HUNT PHARMACY (BATLA) TUGHLAKABAD</t>
  </si>
  <si>
    <t>MEDI MART (VASANT KUNJ) VASANT VIHAR</t>
  </si>
  <si>
    <t>MEDICINE.COM (GK-II) GK-2</t>
  </si>
  <si>
    <t>MEENU AGENCIES PVT. LTD. VASANT VIHAR</t>
  </si>
  <si>
    <t>MEHTA MEDICOS KAILASH COLONY</t>
  </si>
  <si>
    <t>MINI MART CHATTERPUR</t>
  </si>
  <si>
    <t>MINI MART SOUTH EX SOUHT EXT</t>
  </si>
  <si>
    <t>MINTU BHAIYA (PADOSHI) MADANGIR</t>
  </si>
  <si>
    <t>MIRZA GENERAL STORE W NFC, ASHRAM</t>
  </si>
  <si>
    <t>MIRZA SUPER MARKET (JAMIYA) SARITA VIHAR</t>
  </si>
  <si>
    <t>MIRZA SUPER MARKET CASH LAGPAT NAGAR</t>
  </si>
  <si>
    <t>MITTAL BAKERY (A.NAGAR) TUGHLAKABAD</t>
  </si>
  <si>
    <t>MJS SUPER MART MUNIRKA</t>
  </si>
  <si>
    <t>MOHAN STORE (AMAR COLONY) AMAR COLONY</t>
  </si>
  <si>
    <t>MOHIT JI VEEBA TUGHLAKABAD</t>
  </si>
  <si>
    <t>MORNING CAKE PALACE GOVINDPURI</t>
  </si>
  <si>
    <t>MOTI BAKERS (MALVIYA NAGAR) TUGHLAKABAD</t>
  </si>
  <si>
    <t>MOTI MISHTHAN (MALVIYA NGR) MALVIYA NAGAR</t>
  </si>
  <si>
    <t>MRK FOODS (GHITORNI) TUGHLAKABAD</t>
  </si>
  <si>
    <t>MUSIC &amp; MOUNTAINS (G.K) GK-1,</t>
  </si>
  <si>
    <t>N P DISTRIBUTORS BADARPUR,PRAHLA</t>
  </si>
  <si>
    <t>NAATURES CREATION DELHI</t>
  </si>
  <si>
    <t>NABABI SUPER MARKET (BHOGAL) BHOGAL</t>
  </si>
  <si>
    <t>NADEEM RICE (BATLA) TUGHLAKABAD</t>
  </si>
  <si>
    <t>NAFED BAZAAR KIDWAI NAGAR</t>
  </si>
  <si>
    <t>NAGALAND STORE KISHANGARH</t>
  </si>
  <si>
    <t>NAGAR DEPARTMENTAL STORE TUGHLAKABAD</t>
  </si>
  <si>
    <t>NANMA KERLA STORE MEHRAULI</t>
  </si>
  <si>
    <t>NARANG MARCHE (HAUZ KHAS) HAUZ KHAS</t>
  </si>
  <si>
    <t>NARESH PANEER (LEELA RAM) GK-1,</t>
  </si>
  <si>
    <t>NARESH RETAIL (ROZANA BAZAR) DEVLI KHANPUR</t>
  </si>
  <si>
    <t>NATIONAL DEPARTMENTAL (INA) INA</t>
  </si>
  <si>
    <t>NATURE'S CART (BHOGAL) LAGPAT NAGAR</t>
  </si>
  <si>
    <t>NAV DURGA MEDICOS (NEB SARAI) SAKET,</t>
  </si>
  <si>
    <t>NAVJEEVAN MEDICOS NEB SARAI</t>
  </si>
  <si>
    <t>NAVYUG MEDICOS (DEOLI) MADANGIR</t>
  </si>
  <si>
    <t>NAVYUG SERVICE STATION (GK) GK-1,</t>
  </si>
  <si>
    <t>ND24 WRAONG LAGPAT NAGAR</t>
  </si>
  <si>
    <t>NEETA ENTERPRISES (MALVIYA) MALVIYA NAGAR</t>
  </si>
  <si>
    <t>NEETI STORE (NEETI BAGH) YUSUF SARAI</t>
  </si>
  <si>
    <t>NETRAM PURAN MAL TUGHLAKABAD</t>
  </si>
  <si>
    <t>NEW ANAND STORE (INA) INA</t>
  </si>
  <si>
    <t>NEW APNA BAZAR MADANGIR</t>
  </si>
  <si>
    <t>NEW BALAJI KIRYANA STORE INA</t>
  </si>
  <si>
    <t>NEW CAKE PALACE (V.K) TUGHLAKABAD</t>
  </si>
  <si>
    <t>NEW HARMILAPI STORE (MALVIYA) MALVIYA NAGAR</t>
  </si>
  <si>
    <t>NEW MEDICINE POINT TUGHLAKABAD</t>
  </si>
  <si>
    <t>NEW MODERN BAZAR GK-2</t>
  </si>
  <si>
    <t>NEW MODERN BAZAR (DEFENCE) DEFENCE COLONY</t>
  </si>
  <si>
    <t>NEW MODERN BAZAR (SAKET) SAKET</t>
  </si>
  <si>
    <t>NEW MODERN BAZAR (V.V) VASANT VIHAR</t>
  </si>
  <si>
    <t>NEW MODERN BAZZAR (GREEN PARK HAUZ KHAS</t>
  </si>
  <si>
    <t>NEW MODERN BAZZAR (NEW K.C) GK-1,</t>
  </si>
  <si>
    <t>NEW MODERN STORE (G.K-11) GK-2</t>
  </si>
  <si>
    <t>NEW MORNING STORE SATYA NIKETAN</t>
  </si>
  <si>
    <t>NEW PANCHSHEEL STORE SADIQ NAGAR</t>
  </si>
  <si>
    <t>NEW SHIV DAIRY SANGAM VIHAR</t>
  </si>
  <si>
    <t>NEW SHRI SHYAM MART GK-1,</t>
  </si>
  <si>
    <t>NEW SUPER VALUE MART FARIDABAD</t>
  </si>
  <si>
    <t>NEWRISE FOODS &amp; BEVERAGES EAST OF KAILASH</t>
  </si>
  <si>
    <t>NGK RETAIL PRIVATE LTD.(HAUZ TUGHLAKABAD</t>
  </si>
  <si>
    <t>NICE DEPARTMENTAL STORE (C.R) KALKAJI</t>
  </si>
  <si>
    <t>NICE GROCERY MART (RAJPURKHUR TUGHLAKABAD</t>
  </si>
  <si>
    <t>NILGIRI SUPER MART MALVIYA NAGAR</t>
  </si>
  <si>
    <t>NINE ELEVEN DEPART. (S.J.E) HAUZ KHAS</t>
  </si>
  <si>
    <t>NIRMAL BABAJI STORE (GHITORNI TUGHLAKABAD</t>
  </si>
  <si>
    <t>NISHANT STORE (SHEIKH SARAI) MALVIYA NAGAR</t>
  </si>
  <si>
    <t>NOMITEA PRIVATE LIMITED VASANT KUNJ</t>
  </si>
  <si>
    <t>O HM DEPARTMENTAL STORE GHAZIABAD</t>
  </si>
  <si>
    <t>OKHLA SERVICE CENTRE NFC</t>
  </si>
  <si>
    <t>OLIVE BAR AND KITCHEN TUGHLAKABAD</t>
  </si>
  <si>
    <t>OM DAILY NEEDS (MALVIYA NGR.) MALVIYA NAGAR</t>
  </si>
  <si>
    <t>OM ENTERPRISES (SAINIK FARM) SAKET</t>
  </si>
  <si>
    <t>OM GENERAL STORE (NEB SARAI) SAKET,NEB SARAI</t>
  </si>
  <si>
    <t>OM PAL STORE CHATTERPUR</t>
  </si>
  <si>
    <t>OM RETAIL (ROZANA BAZAR) VASANT VIHAR</t>
  </si>
  <si>
    <t>OM RETAILS (ROZANA BAZAR)WRON VASANT KUNJ</t>
  </si>
  <si>
    <t>OMIDE GEN. STORE MALVIYA NAGAR</t>
  </si>
  <si>
    <t>OPENSKY 24 MALVIYA NAGAR</t>
  </si>
  <si>
    <t>OQUA-NIHORA SOLUTION PVT LTD VASANT KUNJ</t>
  </si>
  <si>
    <t>ORANGE MALVIYA NAGAR</t>
  </si>
  <si>
    <t>PAL ENTERPRISES (SARITA.V ) TUGHLAKABAD</t>
  </si>
  <si>
    <t>PAL SUPER STORE (V.V) VASANT VIHAR</t>
  </si>
  <si>
    <t>PANKAJ MASALA STORE(KISAN GAR VASANT VIHAR</t>
  </si>
  <si>
    <t>PANKAJ STORE (L.P.N) TUGHLAKABAD</t>
  </si>
  <si>
    <t>PANKAJ WAGH BAKRI TUGHLAKABAD</t>
  </si>
  <si>
    <t>PARAS CHEMIST PLUS TUGHLAKABAD</t>
  </si>
  <si>
    <t>PARAS DEP. STORE (V.K) VASANT KUNJ</t>
  </si>
  <si>
    <t>PARVEEN JAIN KEPLER TUGHLAKABAD</t>
  </si>
  <si>
    <t>PARVI VASANT KUNJ</t>
  </si>
  <si>
    <t>PAWAN KUMAR GAURAV KUMAR TUGHLAKABAD</t>
  </si>
  <si>
    <t>PAWAN KUMAR MITTAL TUGHLAKABAD</t>
  </si>
  <si>
    <t>PICK N PACK HIMYUNPUR</t>
  </si>
  <si>
    <t>POOJA DAIRY (DDA KALKAJI) GK-2</t>
  </si>
  <si>
    <t>POOJA MASALA GOVINDPURI</t>
  </si>
  <si>
    <t>POOJA MEDICOS CHEMIST GOVINDPURI</t>
  </si>
  <si>
    <t>POOJA SALES (KOTLA) DEFENCE COLONY</t>
  </si>
  <si>
    <t>POOJA STORE (S.V) LAGPAT NAGAR</t>
  </si>
  <si>
    <t>POONAM DAIRY &amp; CATTERS DEVLI KHANPUR</t>
  </si>
  <si>
    <t>PORTER DRIVER HEMENT KUMAR TUGHLAKABAD</t>
  </si>
  <si>
    <t>PRAMOD JI KEYA TUGHLAKABAD</t>
  </si>
  <si>
    <t>PRAVEEN TRADERS (G P) GOVINDPURI</t>
  </si>
  <si>
    <t>PUNIT AGGARWAL TUGHLAKABAD</t>
  </si>
  <si>
    <t>PUSHPANJALI VASANT KUNJ</t>
  </si>
  <si>
    <t>PYRAMIDS PANE FRESCO TUGHLAKABAD</t>
  </si>
  <si>
    <t>PYRAMIDS TONINO RESTAURANT TUGHLAKABAD</t>
  </si>
  <si>
    <t>QUALITY STORE (V.KUNJ) TUGHLAKABAD</t>
  </si>
  <si>
    <t>R T TRADERS (KOTLA) DEFENCE COLONY</t>
  </si>
  <si>
    <t>RACHIT VARITY STORE CHATTERPUR</t>
  </si>
  <si>
    <t>RADHEY RADHEY STORE TUGHLAKABAD</t>
  </si>
  <si>
    <t>RAGHAV CHEMIST GOVINDPURI</t>
  </si>
  <si>
    <t>RAGHUVIR BHAI JF TUGHLAKABAD</t>
  </si>
  <si>
    <t>RAHIM &amp; SONS INDIA PVT WRONG SAKET</t>
  </si>
  <si>
    <t>RAINBOW GENERAL STORE C R PARK</t>
  </si>
  <si>
    <t>RAINBOW GENRAL STORE WRONG C R PARK</t>
  </si>
  <si>
    <t>RAJ DISTRIBUTERS (L.P.N) TUGHLAKABAD</t>
  </si>
  <si>
    <t>RAJ KING MART (V.V) VASANT VIHAR</t>
  </si>
  <si>
    <t>RAJ STORE (KHANNA MKT) INA</t>
  </si>
  <si>
    <t>RAJA STORE (SUNLIGHT COLONY) TUGHLAKABAD</t>
  </si>
  <si>
    <t>RAJASTHAN PROVISION STORE (GR HAUZ KHAS</t>
  </si>
  <si>
    <t>RAJASTHAN SUPER KIRANA STORE INA</t>
  </si>
  <si>
    <t>RAJENDER STORE (SNP) TUGHLAKABAD</t>
  </si>
  <si>
    <t>RAJESH JI PINTOLA TUGHLAKABAD</t>
  </si>
  <si>
    <t>RAJKUMAR (S G T ) TUGHLAKABAD</t>
  </si>
  <si>
    <t>RAJMANDIR HM (ASHOK VIHAR) WAZIRPUR</t>
  </si>
  <si>
    <t>RAJMANDIR HM (ASHOK VIHAR-111 SAGAR RATNA</t>
  </si>
  <si>
    <t>RAJMANDIR HM (ASHOK VIHAR-II) AMBEDKAR CHOWK</t>
  </si>
  <si>
    <t>RAJMANDIR HM (BHOGAL) BHOGAL</t>
  </si>
  <si>
    <t>RAJMANDIR HM (BINDAPUR) BINDAPUR</t>
  </si>
  <si>
    <t>RAJMANDIR HM (BUDH VIHAR) KANJHAWALA</t>
  </si>
  <si>
    <t>RAJMANDIR HM (BUDH VIHAR) POOTH KALAN</t>
  </si>
  <si>
    <t>RAJMANDIR HM (DC CHOWK) D C CHOWK</t>
  </si>
  <si>
    <t>RAJMANDIR HM (DEVLI) DEVLI KHANPUR</t>
  </si>
  <si>
    <t>RAJMANDIR HM (FARIDABAD) HARYANA</t>
  </si>
  <si>
    <t>RAJMANDIR HM (JANAKPURI) JANAKPURI</t>
  </si>
  <si>
    <t>RAJMANDIR HM (KALKAJI) GOVINDPURI</t>
  </si>
  <si>
    <t>RAJMANDIR HM (KARAWAL NAGAR) KARAWAL NAGAR</t>
  </si>
  <si>
    <t>RAJMANDIR HM (KAROL BAGH) KAROL BAGH</t>
  </si>
  <si>
    <t>RAJMANDIR HM (KHIRKI) KHIRKI</t>
  </si>
  <si>
    <t>RAJMANDIR HM (KRISHNA NAGAR) KRISHNA NAGAR</t>
  </si>
  <si>
    <t>RAJMANDIR HM (KRISHNA NAGAR-2 DELHI</t>
  </si>
  <si>
    <t>RAJMANDIR HM (MAHAVIR NEW) MAHAVIR NEW</t>
  </si>
  <si>
    <t>RAJMANDIR HM (MAHAVIR OLD) MAHAVIR OLD</t>
  </si>
  <si>
    <t>RAJMANDIR HM (MALVIYA NAGAR) MALVIYA NAGAR</t>
  </si>
  <si>
    <t>RAJMANDIR HM (MEERA BAGH) MEERA BAGH</t>
  </si>
  <si>
    <t>RAJMANDIR HM (MOHAN GARDEN) MOHAN GARDEN</t>
  </si>
  <si>
    <t>RAJMANDIR HM (NANGAL RAYA) NANGAL RAYA</t>
  </si>
  <si>
    <t>RAJMANDIR HM (NAWADA) NAWADA</t>
  </si>
  <si>
    <t>RAJMANDIR HM (NFC) NFC</t>
  </si>
  <si>
    <t>RAJMANDIR HM (NOIDA SEC -104) NOIDA</t>
  </si>
  <si>
    <t>RAJMANDIR HM (PASCHIM VIHAR 2 PASCHIM VIHAR</t>
  </si>
  <si>
    <t>RAJMANDIR HM (PASCHIM VIHAR) HARKISHAN NAGAR</t>
  </si>
  <si>
    <t>RAJMANDIR HM (PITAMPURA) PITAMPURA</t>
  </si>
  <si>
    <t>RAJMANDIR HM (PRASHANT VIHAR) PRASHANT VIHAR</t>
  </si>
  <si>
    <t>RAJMANDIR HM (PREET VIHAR) PREET VIHAR</t>
  </si>
  <si>
    <t>RAJMANDIR HM (RAJA GARDEN NEW RAJOURI NEW</t>
  </si>
  <si>
    <t>RAJMANDIR HM (RAJA GARDEN OLD RAJOURI OLD</t>
  </si>
  <si>
    <t>RAJMANDIR HM (RAJAPURI) RAJAPURI</t>
  </si>
  <si>
    <t>RAJMANDIR HM (ROHINI) SURYA MALL</t>
  </si>
  <si>
    <t>RAJMANDIR HM (SAMAIPUR) SAMAIPUR</t>
  </si>
  <si>
    <t>RAJMANDIR HM (SHAHDARA) SHAHDARA</t>
  </si>
  <si>
    <t>RAJMANDIR HM (UTTAM NAGAR) PILLER NO 674</t>
  </si>
  <si>
    <t>RAJMANDIR HM (VIKAS PURI) TUGHLAKABAD</t>
  </si>
  <si>
    <t>RAJMANDIR HM (VIKAS PURI-2) DELHI</t>
  </si>
  <si>
    <t>RAJVANSH PHARMACEUTICLE (L.P. TUGHLAKABAD</t>
  </si>
  <si>
    <t>RAMA AGENCIES TUGHLAKABAD</t>
  </si>
  <si>
    <t>RAMA DAIRY (KALKAJI) KALKAJI</t>
  </si>
  <si>
    <t>RAMA GALLERY DEPARTMENTAL STO GK-1,</t>
  </si>
  <si>
    <t>RAMA PRO. STORE TUGHLAKABAD</t>
  </si>
  <si>
    <t>RAMESH DAIRY (MADANGIR) MADANGIR</t>
  </si>
  <si>
    <t>RAMESH SWEETS CHATTERPUR</t>
  </si>
  <si>
    <t>RAMPRAVESH SABZI (MEHRAULI) TUGHLAKABAD</t>
  </si>
  <si>
    <t>RATTAN SUPER MART CHATTERPUR</t>
  </si>
  <si>
    <t>RAVI KUMAR VERMA (JLL STAFF) TUGHLAKABAD</t>
  </si>
  <si>
    <t>RAVINDER HALDIRAM TUGHLAKABAD</t>
  </si>
  <si>
    <t>RAWAT BAKERY YUSUF SARAI</t>
  </si>
  <si>
    <t>RDR IMPEX PVT.LTD. TUGHLAKABAD</t>
  </si>
  <si>
    <t>RIDHIMA MEDICOS CHATTERPUR</t>
  </si>
  <si>
    <t>RIKUNJ ENTERPRISES (P. VIHAR) SAKET</t>
  </si>
  <si>
    <t>RINGROAD SERVICE STATION INA</t>
  </si>
  <si>
    <t>ROZANA BAZAR MADANGIR</t>
  </si>
  <si>
    <t>ROZANA SUPERMART (MADANGIR) MADANGIR</t>
  </si>
  <si>
    <t>S . R. ASSOCIATES TUGHLAKABAD</t>
  </si>
  <si>
    <t>S D DISTRIBUTION W GK2,KALKAJI</t>
  </si>
  <si>
    <t>S S SUPER STORE (GOVINDPURI) GOVINDPURI</t>
  </si>
  <si>
    <t>S.K STORE (INA) INA</t>
  </si>
  <si>
    <t>S.K.D. STORE (LADO S) LADO SARAI</t>
  </si>
  <si>
    <t>S.R DISTRIBUTORS (LAJPAT) TUGHLAKABAD</t>
  </si>
  <si>
    <t>SACHDEVA VEGETABLES&amp;FRUIT(INA INA</t>
  </si>
  <si>
    <t>SACHIN PLASTIC MADANGIR</t>
  </si>
  <si>
    <t>SAFFRON INDIA (KAROL BAGH) TUGHLAKABAD</t>
  </si>
  <si>
    <t>SAHANI CONFECTIONERY (CR GK-2</t>
  </si>
  <si>
    <t>SAHANI CONFECTIONERY (CR PARK W GK2,KALKAJI</t>
  </si>
  <si>
    <t>SAHID SUPER STORE (BATHLA) TUGHLAKABAD</t>
  </si>
  <si>
    <t>SAI CONFECTIONERY (L.P.N) LAGPAT NAGAR</t>
  </si>
  <si>
    <t>SAI ENTERPRISES BADARPUR,PRAHLA</t>
  </si>
  <si>
    <t>SAI RAM DAIRY (SHEIKH SARAI) TUGHLAKABAD</t>
  </si>
  <si>
    <t>SAI RAM TRADERS TUGHLAKABAD</t>
  </si>
  <si>
    <t>SAINI PROVISION STORE (ASHRAM BHOGAL</t>
  </si>
  <si>
    <t>SAINI STORE KOTLA</t>
  </si>
  <si>
    <t>SALES TUGHLAKABAD</t>
  </si>
  <si>
    <t>SAMPLE OF MY FITNESS TUGHLAKABAD</t>
  </si>
  <si>
    <t>SAMSBHU ADVANCE TUGHLAKABAD</t>
  </si>
  <si>
    <t>SANDEEP STORE GOVINDPURI</t>
  </si>
  <si>
    <t>SANJEEV DEPARTMENTAL STORE GK-2</t>
  </si>
  <si>
    <t>SANTOSH GEN. STORE (MALVIYA) MALVIYA NAGAR</t>
  </si>
  <si>
    <t>SARASWATI GENERAL STORE GK-2</t>
  </si>
  <si>
    <t>SARDAR A PURE MEAT SHOP VASANT KUNJ</t>
  </si>
  <si>
    <t>SARDAR MEAT SHOP MALVIYA NAGAR</t>
  </si>
  <si>
    <t>SASTA BAZAR (J N U) VASANT VIHAR</t>
  </si>
  <si>
    <t>SAVAGE COFFEE PRIVATE LIMITED LAJPAT NAGAR</t>
  </si>
  <si>
    <t>SAVER BAZAR GOVINDPURI</t>
  </si>
  <si>
    <t>SAVER BAZAR (GOVINDPURI) GOVINDPURI</t>
  </si>
  <si>
    <t>SAWAN AGENCIES TUGHLAKABAD</t>
  </si>
  <si>
    <t>SERVICE CIRCLE LAGPAT NAGAR</t>
  </si>
  <si>
    <t>SETH OLD STORE (CHH. PUR) TUGHLAKABAD</t>
  </si>
  <si>
    <t>SHAKTI FRUITS (KHAN MKT.) INA</t>
  </si>
  <si>
    <t>SHANKARA ENTERPRISES MALVIYA NAGAR</t>
  </si>
  <si>
    <t>SHAQIL BHAI AUTOMOBILES MADANGIR</t>
  </si>
  <si>
    <t>SHARDA BHAWANI AGENCY MOHAN NAGAR</t>
  </si>
  <si>
    <t>SHARMA &amp; SONS (ANDREWS) J GOVINDPURI TU</t>
  </si>
  <si>
    <t>SHARMA COOKING GAS SERVICE TUGHLAKABAD</t>
  </si>
  <si>
    <t>SHARMA MEDICOS CHATTERPUR</t>
  </si>
  <si>
    <t>SHARUKH JI HITKARY TUGHLAKABAD</t>
  </si>
  <si>
    <t>SHAURYA SUPER MART KAPASHERA</t>
  </si>
  <si>
    <t>SHEETAL SGT TUGHLAKABAD</t>
  </si>
  <si>
    <t>SHIROMANI ENTERPRISES PRAHLADPUR</t>
  </si>
  <si>
    <t>SHIV DAIRY MEHRAULI</t>
  </si>
  <si>
    <t>SHIV DAIRY (MADANGIR) MADANGIR</t>
  </si>
  <si>
    <t>SHIV DAIRY PANEER (SANGAM VIH MADANGIR</t>
  </si>
  <si>
    <t>SHIV DEPARTMENTAL STORE(KOTLA KOTLA</t>
  </si>
  <si>
    <t>SHIV GEN STORE (NEB SARAI)WRO SAKET,NEB SARAI</t>
  </si>
  <si>
    <t>SHIV STORE (DEFENCE CLY.) LAGPAT NAGAR</t>
  </si>
  <si>
    <t>SHIV STORE (YUSUF SARAI) YUSUF SARAI</t>
  </si>
  <si>
    <t>SHIV STORE CHEMIST INA</t>
  </si>
  <si>
    <t>SHIVA TRADERS GHAZIABAD</t>
  </si>
  <si>
    <t>SHIVAM DAIRY (S J E) HAUZ KHAS</t>
  </si>
  <si>
    <t>SHIVAM ORGANIC (SOUTH EX.) TUGHLAKABAD</t>
  </si>
  <si>
    <t>SHIVAM STORE (I N A) INA</t>
  </si>
  <si>
    <t>SHIVANSH MEDICOS MUNIRKA</t>
  </si>
  <si>
    <t>SHREE BALAJI ENTERPRISE TUGHLAKABAD</t>
  </si>
  <si>
    <t>SHREE BALAJI ENTERPRISES MADANGIR</t>
  </si>
  <si>
    <t>SHREE BIKANER SWEETS ADCHINI</t>
  </si>
  <si>
    <t>SHREE GANESH TRADERS NARELA</t>
  </si>
  <si>
    <t>SHREE KRISHNA DAIRY(SRINIWAS GK-1,</t>
  </si>
  <si>
    <t>SHREE R P ENTERPRISES (G.P) GOVINDPURI</t>
  </si>
  <si>
    <t>SHREE RADHA DAIRY PANEER BHAN PUSHP VIHAR</t>
  </si>
  <si>
    <t>SHREE RAM STORE (PRAHLADPUR) BADARPUR,PRAHLA</t>
  </si>
  <si>
    <t>SHREE SHYAM ENTERPRISES (Y.S) TUGHLAKABAD</t>
  </si>
  <si>
    <t>SHREE SHYAM RETAIL (TIGRI) MADANGIR</t>
  </si>
  <si>
    <t>SHRI BALAJI STORE (M.NGR.) MALVIYA NAGAR</t>
  </si>
  <si>
    <t>SHRI DURGA GEN STORE (ASHRAM) BHOGAL</t>
  </si>
  <si>
    <t>SHRI KRISHNA DRY FRUIT TUGHLAKABAD</t>
  </si>
  <si>
    <t>SHRI KRISHNA ENTERPRISES TUGHLAKABAD</t>
  </si>
  <si>
    <t>SHRI MAHADEV STORE (KIDWAI NG INA</t>
  </si>
  <si>
    <t>SHRI MORNING PLACE (HAUZKHAS) HAUZ KHAS</t>
  </si>
  <si>
    <t>SHRI NARANG STORE (HOUZ KHAS) HAUZ KHAS</t>
  </si>
  <si>
    <t>SHRI RAM DAIRY &amp; PANEER (BER VASANT VIHAR</t>
  </si>
  <si>
    <t>SHRI RAM DAIRY (WRONG) TUGHLAKABAD</t>
  </si>
  <si>
    <t>SHRI RAM GENRAL STORE (FRONT) INA</t>
  </si>
  <si>
    <t>SHRI RAM GENRAL STORE (I N A) INA</t>
  </si>
  <si>
    <t>SHRI RAM INTERNATIONAL TUGHLAKABAD</t>
  </si>
  <si>
    <t>SHRI RAM MEDICOS(KOTLA) KOTLA</t>
  </si>
  <si>
    <t>SHRI RAM PANEER BHANDAR (MOTI VASANT VIHAR</t>
  </si>
  <si>
    <t>SHRI RAM STORE (AYA NAGAR) TUGHLAKABAD</t>
  </si>
  <si>
    <t>SHRI SAI STATIONERY(KOTLA) TUGHLAKABAD</t>
  </si>
  <si>
    <t>SHRI SHYAM GROCERY STORE CHATTERPUR</t>
  </si>
  <si>
    <t>SHRI SHYAM JI BAKERS SARITA VIHAR</t>
  </si>
  <si>
    <t>SHRI SHYAM MART AMAR COLONY</t>
  </si>
  <si>
    <t>SHRI SHYAM MISTHAN (S/VIHAR) SANGAM VIHAR</t>
  </si>
  <si>
    <t>SHRI SHYAM STORE (NEW) MALVIYA NAGAR</t>
  </si>
  <si>
    <t>SHRI TIRUPATI (MUNIRKA) TUGHLAKABAD</t>
  </si>
  <si>
    <t>SHUBHAM CATERERS TUGHLAKABAD</t>
  </si>
  <si>
    <t>SHWETA SALES CORPORATION MEHRAULI</t>
  </si>
  <si>
    <t>SHYAM DAIRY (SANGAM VIHAR) SANGAM VIHAR</t>
  </si>
  <si>
    <t>SIDHI VINAYAK DEPARTMENT (BHO LAGPAT NAGAR</t>
  </si>
  <si>
    <t>SILVER SEA STORE (INA) TUGHLAKABAD</t>
  </si>
  <si>
    <t>SINDHIDRYFRUIT IMPEX LAJPAT NAGAR</t>
  </si>
  <si>
    <t>SINGH AGENCIES TUGHLAKABAD</t>
  </si>
  <si>
    <t>SINGH MOTORS GK-1,</t>
  </si>
  <si>
    <t>SINGH MOTORS IN &amp; OUT STORE VASANT VIHAR</t>
  </si>
  <si>
    <t>SINGHAL JI DEFENCE COLONY</t>
  </si>
  <si>
    <t>SINGHAL STORE (MOTI BAGH) VASANT VIHAR</t>
  </si>
  <si>
    <t>SINGHLA DRY FRUITS BADARPUR,PRAHLA</t>
  </si>
  <si>
    <t>SITA RAM TRADERS SONIA VIHAR</t>
  </si>
  <si>
    <t>SOAMI SERVICE CENTRE (IN&amp;OUT) TUGHLAKABAD</t>
  </si>
  <si>
    <t>SONU KIRANA STORE (GAUTAM N) YUSUF SARAI</t>
  </si>
  <si>
    <t>SRI SAI INTERNATIONAL SAFDARJUNG</t>
  </si>
  <si>
    <t>SRI SETHI STORE (BHOGAL) LAGPAT NAGAR</t>
  </si>
  <si>
    <t>SS RETAIL (ROZANA BAZAR) BADARPUR,PRAHLA</t>
  </si>
  <si>
    <t>SS RETAIL (ROZANA BAZAR) SARITA VIHAR</t>
  </si>
  <si>
    <t>STANDARD'S THE QUALITY SHOP BHOGAL</t>
  </si>
  <si>
    <t>STEAK HOUSE (JOR BAGH) INA</t>
  </si>
  <si>
    <t>STORE 2 DOOR (ALAKNANDA) TUGHLAKABAD</t>
  </si>
  <si>
    <t>STOREXX 24/7 MALVIYA NAGAR</t>
  </si>
  <si>
    <t>SUBHASH JI TONG GARDEN TUGHLAKABAD</t>
  </si>
  <si>
    <t>SUGAR CLOUD HOSPITALITY HAUZ KHAS</t>
  </si>
  <si>
    <t>SUMIT JI SLEEPY OWL TUGHLAKABAD</t>
  </si>
  <si>
    <t>SUNIL GEN. STORE (V.KUNJ) VASANT VIHAR</t>
  </si>
  <si>
    <t>SUNIL JI SDS TUGHLAKABAD</t>
  </si>
  <si>
    <t>SUNSHINE TEAHOUSE PVT. LTD TUGHLAKABAD</t>
  </si>
  <si>
    <t>SUPER BAZAR KHANPUR</t>
  </si>
  <si>
    <t>SUPER CHAWLA STORE (MOTI BAGH VASANT VIHAR</t>
  </si>
  <si>
    <t>SUPER GROCERY STORE (SULTANPU SAKET</t>
  </si>
  <si>
    <t>SUPER SHOP (MOTI BAGH) VASANT VIHAR</t>
  </si>
  <si>
    <t>SUPER STORE (KHANNA MKT) INA</t>
  </si>
  <si>
    <t>SUPER STORES (Y.S) YUSUF SARAI</t>
  </si>
  <si>
    <t>SUPPLEMENTRO SATBARI</t>
  </si>
  <si>
    <t>SUPREME BAKERS (R.K PURAM) VASANT VIHAR</t>
  </si>
  <si>
    <t>SURAJ KUMAR TUGHLAKABAD</t>
  </si>
  <si>
    <t>SURAJ STORE (DEOLI) TUGHLAKABAD</t>
  </si>
  <si>
    <t>SURESH MEDICOS AND DEPT STORE AMAR COLONY</t>
  </si>
  <si>
    <t>SURYA CONCEPT HAUZ KHAS</t>
  </si>
  <si>
    <t>SVBDH-JV (NFC) NFC</t>
  </si>
  <si>
    <t>T S FOOD STORE (CHATTARPUR) VASANT VIHAR</t>
  </si>
  <si>
    <t>TAHIR GEN STORE TUGHLAKABAD</t>
  </si>
  <si>
    <t>TAJ SUPER MART BATLA HOUSE</t>
  </si>
  <si>
    <t>TALAL SIR PEDIGREE ASM TUGHLAKABAD</t>
  </si>
  <si>
    <t>TARA CHAND (BHOGAL) LAGPAT NAGAR</t>
  </si>
  <si>
    <t>TASTY BITES (ALAKNANDA) GK-2</t>
  </si>
  <si>
    <t>TAZA PANEER BHANDAR (AMAR C.) GK-1,</t>
  </si>
  <si>
    <t>TEMPTATION GENRAL STORE (V.K) VASANT KUNJ</t>
  </si>
  <si>
    <t>test TUGHLAKABAD</t>
  </si>
  <si>
    <t>THE CELIAC STORE LAGPAT NAGAR</t>
  </si>
  <si>
    <t>THE FAMILY SHOP (V.KUNJ) TUGHLAKABAD</t>
  </si>
  <si>
    <t>THE FRESH FUSION CHATTERPUR</t>
  </si>
  <si>
    <t>THE GIFTIDY SAKET</t>
  </si>
  <si>
    <t>THE NEW SHOP FARIDABAD</t>
  </si>
  <si>
    <t>THE PANCHSHILA RENDEZVOUS TUGHLAKABAD</t>
  </si>
  <si>
    <t>THE TASTE (DEFENCE CLY.) LAGPAT NAGAR</t>
  </si>
  <si>
    <t>TMACC PRIVATE LIMITED SUKHDEV VIHAR</t>
  </si>
  <si>
    <t>TMACC PRIVATE LIMITED (ODS) GK-1,</t>
  </si>
  <si>
    <t>TRUE &amp; PURE TUGHLAKABAD</t>
  </si>
  <si>
    <t>TUTEJA BOOK DEPOT TUGHLAKABAD</t>
  </si>
  <si>
    <t>UDI SAMPLE TUGHLAKABAD</t>
  </si>
  <si>
    <t>UMA JI MADANGIR</t>
  </si>
  <si>
    <t>UNIQUE BAKERY (ZAKIR NGR) TUGHLAKABAD</t>
  </si>
  <si>
    <t>UNIQUE GENERAL STORE (KHIRKI) MALVIYA NAGAR</t>
  </si>
  <si>
    <t>UNIVERSAL TRADING COMPANY INA</t>
  </si>
  <si>
    <t>URBAN BAZAAR (OKHLA VIHAR) TUGHLAKABAD</t>
  </si>
  <si>
    <t>V R TRADERS PVT LTD DEFENCE COLONY</t>
  </si>
  <si>
    <t>VALUE BAZAAR (GOVIND PURI) GOVINDPURI</t>
  </si>
  <si>
    <t>VARIETY STORE(LAJPAT) LAGPAT NAGAR</t>
  </si>
  <si>
    <t>VARSHIKA GENERAL STORE NEB SARAI</t>
  </si>
  <si>
    <t>VEPO INDUSTRIES PVT.LTD MALVIYA NAGAR</t>
  </si>
  <si>
    <t>VERMA PROVISIONAL STORE (SAKE SAKET,NEB SARAI</t>
  </si>
  <si>
    <t>VERMA SUPER MART (MALVIYA NG TUGHLAKABAD</t>
  </si>
  <si>
    <t>VICKY ENTERPRISES MUNIRKA</t>
  </si>
  <si>
    <t>VIDYA SHANTI ENTERPRISES TUGHLAKABAD</t>
  </si>
  <si>
    <t>VIJAY ENTERPRISES GOVINDPURI</t>
  </si>
  <si>
    <t>VIJAY ENTERPRISES W NFC, ASHRAM</t>
  </si>
  <si>
    <t>VIJAY STORE (LEELARAM) GK-1,</t>
  </si>
  <si>
    <t>VIKAS PROVISION STORE (VSANT TUGHLAKABAD</t>
  </si>
  <si>
    <t>VISHAL INTERPRISES (S.V) SARITA VIHAR</t>
  </si>
  <si>
    <t>VISHANU DRY FRUIT MADANGIR</t>
  </si>
  <si>
    <t>VISHNU DAIRY (L.P.N) LAGPAT NAGAR</t>
  </si>
  <si>
    <t>YAMATO TRADE PVT.LTD SAKET,NEB SARAI</t>
  </si>
  <si>
    <t>YANAA MEDICOS (SAKET) SAKET</t>
  </si>
  <si>
    <t>YESS RETAIL LLP (L.P.N) LAJPAT NAGAR</t>
  </si>
  <si>
    <t>YR HYPERMARKET MALVIYA NAGAR</t>
  </si>
  <si>
    <t>WEIKFIELD CLIENTS</t>
  </si>
  <si>
    <t>AKASH TRADING CO.(KULDEEP DAI GK-2</t>
  </si>
  <si>
    <t>ALAKNANDA STORE(ALAKNANDA) GK-2</t>
  </si>
  <si>
    <t>ANAND MORNING STORE (SAKET) SAKET</t>
  </si>
  <si>
    <t>AURA DEPARTMENTAL STORE BADARPUR,PRAHLA</t>
  </si>
  <si>
    <t>BASANT LAL RAMESH CHAND VASANT VIHAR</t>
  </si>
  <si>
    <t>CASH QUALITY(KAILASH C) GK-1,</t>
  </si>
  <si>
    <t>CITY STORE (SHAHEEN BAGH) SAHEEN BAGH</t>
  </si>
  <si>
    <t>DAILY NEEDS VASANT VIHAR</t>
  </si>
  <si>
    <t>DIAMOND GENERAL STORE W NFC, ASHRAM</t>
  </si>
  <si>
    <t>GANESH STORE (DEOLI) MADANGIR</t>
  </si>
  <si>
    <t>H M MORNING STORE(GK-1) GK-1,</t>
  </si>
  <si>
    <t>HARDAS MAL CHELARAM VASANT VIHAR</t>
  </si>
  <si>
    <t>HONEY MONEY TOP (SARITA) SARITA V, JASOL</t>
  </si>
  <si>
    <t>HONEY MONEY TOP(NFC) SARITA VIHAR</t>
  </si>
  <si>
    <t>ILQA GENERAL MERCHANT W NFC, ASHRAM</t>
  </si>
  <si>
    <t>KRISHNA STORE CONNAUGHT PLACE</t>
  </si>
  <si>
    <t>MAHAJAN DEPARTMENT STORE(SARI SARITA V</t>
  </si>
  <si>
    <t>MANAV SNACKS PVT LTD.(KAILASH GK-1,</t>
  </si>
  <si>
    <t>MANDEEP STORE (AMAR COLY.) GK-1,</t>
  </si>
  <si>
    <t>MANGERAM PREMCHAND(G.P.EXTN.) W GOVINDPURI,GK</t>
  </si>
  <si>
    <t>MARK SUPER STORE PVT LTD LAGPAT NAGAR</t>
  </si>
  <si>
    <t>N.R. MEDIA &amp; MARKETING(KAILAS GK-1,</t>
  </si>
  <si>
    <t>NEW CAKE PALACE (SAKET) SAKET</t>
  </si>
  <si>
    <t>NEW CAKE PLAZA (KALKAJI) W CR PARK, KALK</t>
  </si>
  <si>
    <t>NEW GUPTA KHADYA BHANDAR MADANGIR</t>
  </si>
  <si>
    <t>NEW KRISHNA STORE (C. PUR) TUGHLAKABAD</t>
  </si>
  <si>
    <t>NEW MODERN BAZAR (KAILASH C.) GK-1,</t>
  </si>
  <si>
    <t>NEW MODERN BAZAR (NFC) SARITA VIHAR</t>
  </si>
  <si>
    <t>NITIN STORE (ASHRAM) NFC</t>
  </si>
  <si>
    <t>OM CONFECTONER SAKET</t>
  </si>
  <si>
    <t>PAL STORE (TAIMOR NAGAR) W NFC, ASHRAM</t>
  </si>
  <si>
    <t>PREM SERVICE STATION GK-1,</t>
  </si>
  <si>
    <t>ROHIT STORE (GK ENCLAVE) GK-1, KAILASH C</t>
  </si>
  <si>
    <t>SAURABH STORE (CR PARK) GK-2</t>
  </si>
  <si>
    <t>SAVITA STORE (MADANGIR) MADANGIR</t>
  </si>
  <si>
    <t>SHIVA STORE (MANDAKNI ENCLAVE W GOVINDPURI,GK</t>
  </si>
  <si>
    <t>SHREE SHYAM TRADERS (G.P. EXT W GOVINDPURI,GK</t>
  </si>
  <si>
    <t>SHRI GIRIRAJ CONFECTIONERY (D MADANGIR</t>
  </si>
  <si>
    <t>SHRI PASHUPATI TRADING CO. GOVINDPURI</t>
  </si>
  <si>
    <t>SHRI RAM STORE (D P) TUGHLAKABAD</t>
  </si>
  <si>
    <t>SHUBHAM ENTERPRISES (D.P.) MADANGIR</t>
  </si>
  <si>
    <t>SUPER STORE (CR PARK) GK-2</t>
  </si>
  <si>
    <t>THE ESSENTIALS SHOPPE GK-1,</t>
  </si>
  <si>
    <t>VERMA'S A COMPLETE STORE LAGPAT NAGAR</t>
  </si>
  <si>
    <t>VICKY SUPER MART SAKET</t>
  </si>
  <si>
    <t>JLL CLIENTS</t>
  </si>
  <si>
    <t>DISCOUNT STORE SHIVAM YUSUF SARAI GAU</t>
  </si>
  <si>
    <t>G.P.S. MARKETING PVT LTD YUSUF SARAI</t>
  </si>
  <si>
    <t>GOLDY STORE (AMAR COLONY) AMAR COLONY</t>
  </si>
  <si>
    <t>GUPTA STORE W GK2,KALKAJI</t>
  </si>
  <si>
    <t>HEMKUNT STORE (EOK) GK-1,</t>
  </si>
  <si>
    <t>LAKSHMI STORE (G P EX.) GOVINDPURI</t>
  </si>
  <si>
    <t>LAXMI PROVISION STORE GK-2</t>
  </si>
  <si>
    <t>MANISH GUPTA DEPARTMENT (K.C) GK-1,</t>
  </si>
  <si>
    <t>MEHTA STORE GK-I TUGHLAKABAD</t>
  </si>
  <si>
    <t>MITTAL STORE HAUZ KHAS</t>
  </si>
  <si>
    <t>MORNING CHOICE GK-1,</t>
  </si>
  <si>
    <t>NEW AGGARWAL STORE J SRNIWAS AMAR</t>
  </si>
  <si>
    <t>NEW BATRA GENERAL STORE J GAUTAM N, YUS</t>
  </si>
  <si>
    <t>NEW SUPER STORE MAJID MOTH</t>
  </si>
  <si>
    <t>OBEROI GENRAL (WRONG) GK-2</t>
  </si>
  <si>
    <t>OM ENTERPRISES(LEELARAM)WRONG GK-1,</t>
  </si>
  <si>
    <t>POPULAR STORE(GP) GOVINDPURI</t>
  </si>
  <si>
    <t>PRAGATRI STORE (SHAHPURJAT) TUGHLAKABAD</t>
  </si>
  <si>
    <t>RAJAN STORE(SHEIKH SARAI) MALVIYA NAGAR</t>
  </si>
  <si>
    <t>RAJASTHAN FLOUR MILLS (YUSUF YUSUF SARAI</t>
  </si>
  <si>
    <t>SANTOSH STORE J GK1,LELARM</t>
  </si>
  <si>
    <t>SHARMA PROVISION STORE(YS) YUSUF SARAI</t>
  </si>
  <si>
    <t>SHIVAM SUPER MARKET J GAUTAM N, YUS</t>
  </si>
  <si>
    <t>SHRI GOPALAN STORE TUGHLAKABAD</t>
  </si>
  <si>
    <t>SINGHAL SUPER STORE(GP EXTN) GOVINDPURI</t>
  </si>
  <si>
    <t>SUNIL STORE WRONG BHOGAL</t>
  </si>
  <si>
    <t>V.K.S. BACHAT BAZAR YUSUF SARAI</t>
  </si>
  <si>
    <t>VINOD DRIVER TUGHLAKABAD</t>
  </si>
  <si>
    <t>VINOD STORE J GOVINDPURI TU</t>
  </si>
  <si>
    <t>SUNDRY DEBTORS (FIELD STAFF)</t>
  </si>
  <si>
    <t>ADNAN JI UDI TUGHLAKABAD</t>
  </si>
  <si>
    <t>BRIJMOHAN SGT TUGHLAKABAD</t>
  </si>
  <si>
    <t>CHANDRASHEKHAR JI S.OWL TUGHLAKABAD</t>
  </si>
  <si>
    <t>MANOJ JI SANCUS TUGHLAKABAD</t>
  </si>
  <si>
    <t>MOHIT MT VEEBA TUGHLAKABAD</t>
  </si>
  <si>
    <t>TOTAL</t>
  </si>
  <si>
    <t>Net Balance</t>
  </si>
  <si>
    <t>Net balance shown under Trade Receivables (Note 9), rounded off.</t>
  </si>
  <si>
    <t>Schedule C – Sundry Creditors (Suppliers) as on 31st March 2026</t>
  </si>
  <si>
    <t>SUNDRY CREDITORS (SUPPLIERS)</t>
  </si>
  <si>
    <t>A.J. FABRICATORS MAYAPURI</t>
  </si>
  <si>
    <t>ADIDEV TRADING COMPANY DELHI</t>
  </si>
  <si>
    <t>ANAND ENTERPRISES.</t>
  </si>
  <si>
    <t>ANIKA GRAH UDYOG FARIDABAD</t>
  </si>
  <si>
    <t>ANUJ KUMAR AND SONS</t>
  </si>
  <si>
    <t>ANUSHKA SALES &amp; MARKETING</t>
  </si>
  <si>
    <t>ARCHIES LIMITED</t>
  </si>
  <si>
    <t>ARORA WATCH &amp; ELECTRONICS</t>
  </si>
  <si>
    <t>ARUNA ENTERPRISES AZADPUR</t>
  </si>
  <si>
    <t>BANWARI LAL ARORA AND SONS.</t>
  </si>
  <si>
    <t>BRIDGE VENTURES PEERA GARHI</t>
  </si>
  <si>
    <t>CHAITANYA MARKETING AGENCY ROHINI</t>
  </si>
  <si>
    <t>CM FOODS 2020-21 NEW</t>
  </si>
  <si>
    <t>D.C.JOHAR &amp; SONS PVT.LTD.MUMBA</t>
  </si>
  <si>
    <t>DAS FOODTECH PVT.LTD. GUJRAT</t>
  </si>
  <si>
    <t>DASS POLYMERS PVT. LTD. OKHLA</t>
  </si>
  <si>
    <t>EUROTECH INFOSYS</t>
  </si>
  <si>
    <t>GUJARAT TEA PROCESSORS &amp; PACKE</t>
  </si>
  <si>
    <t>HARI TRADING PALAM</t>
  </si>
  <si>
    <t>HITKARY PHARMACY INDIA PVT LT HARYANA</t>
  </si>
  <si>
    <t>K C TRADERS &amp; LOGISTICS DWARKA</t>
  </si>
  <si>
    <t>KEYA FOODS INTERNATIONAL DELHI</t>
  </si>
  <si>
    <t>KRISHNA TYRE HOUSE KHANPUR</t>
  </si>
  <si>
    <t>MARG EXPERT</t>
  </si>
  <si>
    <t>MARS INTERNATIONAL INDIA PVT HARYANA</t>
  </si>
  <si>
    <t>NARULA WINDSHIELD TRADERS SAKET</t>
  </si>
  <si>
    <t>NOURISH ORGANIC PVT LTD HARYANA</t>
  </si>
  <si>
    <t>NUTRISUP SOLUTIONS JAMIA NAGAR</t>
  </si>
  <si>
    <t>OJAS TRADERS ROHINI</t>
  </si>
  <si>
    <t>P R MARKETING GHAZIABAD</t>
  </si>
  <si>
    <t>PRAGARIKI</t>
  </si>
  <si>
    <t>PRATYUSH NISHA VENTURE PVT.LTD</t>
  </si>
  <si>
    <t>PRINTER &amp; SYSTEM SOLUTIONS NEHRU PLACE</t>
  </si>
  <si>
    <t>PRIYA TECHNOLOGY</t>
  </si>
  <si>
    <t>PRO NATURE ORG.FOOD PVT LTD</t>
  </si>
  <si>
    <t>PURCHASE LOCAL CASH</t>
  </si>
  <si>
    <t>RAHUL ASSOCIATES (TENDO)</t>
  </si>
  <si>
    <t>RAHUL ASSOCIATES(TONG GARDEN) DELHI</t>
  </si>
  <si>
    <t>RAMA VISION LIMITED NAJAFGARH</t>
  </si>
  <si>
    <t>RS DISTRIBUTORS LLP GURGAON MANESAR</t>
  </si>
  <si>
    <t>S.K LAXMI ENTERPRISES DELHI</t>
  </si>
  <si>
    <t>SAHIL SALES GOVINDPURI</t>
  </si>
  <si>
    <t>SANJIV SALES MOTI NAGAR</t>
  </si>
  <si>
    <t>SANZYME (P) LTD.</t>
  </si>
  <si>
    <t>SDS ENTERPRISES DELHI</t>
  </si>
  <si>
    <t>SEJWAL ENTERPRISES</t>
  </si>
  <si>
    <t>SLEEPY OWL COFFEE PVT LTD HARYANA</t>
  </si>
  <si>
    <t>SRI SAI TRADERS CR.</t>
  </si>
  <si>
    <t>SWATI TRADERS</t>
  </si>
  <si>
    <t>TANVI FITNESS PVT LTD MAHARASTHRA</t>
  </si>
  <si>
    <t>TATA UNISTORE LIMITED</t>
  </si>
  <si>
    <t>TBJ IMPEX PRIVATE LIMITED OKHLA</t>
  </si>
  <si>
    <t>TBJ IMPEX PVT LTD (PAAN SMITH GHAZIABAD</t>
  </si>
  <si>
    <t>UNITED DISTRIBUTORS INC.</t>
  </si>
  <si>
    <t>UNIVERSAL CORPORATION LTD.</t>
  </si>
  <si>
    <t>VEEBA FOOD SERVICES PRIVATE LI</t>
  </si>
  <si>
    <t>VIJAY SALES KALKAJI</t>
  </si>
  <si>
    <t>VISHAL TRADING COMPANY SARITA VIHAR</t>
  </si>
  <si>
    <t>VR TRADERS PVT LTD (CR.)</t>
  </si>
  <si>
    <t>VRB CONSUMER PRODUCTS PVT LTD</t>
  </si>
  <si>
    <t>Net balance shown under Trade Payables (Note 4), rounded off.</t>
  </si>
  <si>
    <t>Schedule D – Unsecured Loans and Other Loans &amp; Advances as on 31st March 2026</t>
  </si>
  <si>
    <t>A. Unsecured Loans (Liability) – Note 2</t>
  </si>
  <si>
    <t>Name of Lender</t>
  </si>
  <si>
    <t>Amount</t>
  </si>
  <si>
    <t>V R Traders – Loan</t>
  </si>
  <si>
    <t>V R Traders – Loan &amp; Advance A/c</t>
  </si>
  <si>
    <t>Ratan Agarwal</t>
  </si>
  <si>
    <t>Bajaj Finance</t>
  </si>
  <si>
    <t>B. Other Loans &amp; Advances (Asset) – Note 11</t>
  </si>
  <si>
    <t>RENT IN ADVANCE</t>
  </si>
  <si>
    <t>SAMBHU ADV.</t>
  </si>
  <si>
    <t>VINOD ADV. SGT</t>
  </si>
  <si>
    <t>ANKIT ADV. SGT TUGHLAKABAD</t>
  </si>
  <si>
    <t>ASHISH SGT ADV.</t>
  </si>
  <si>
    <t>BRIJMOHAN ADV.</t>
  </si>
  <si>
    <t>CHANDRA KESH ADV.</t>
  </si>
  <si>
    <t>DHANANJAY ADV.</t>
  </si>
  <si>
    <t>HARDEEP ADV.</t>
  </si>
  <si>
    <t>JITENDER ADV. SGT</t>
  </si>
  <si>
    <t>KAMLESH SGT ADV.</t>
  </si>
  <si>
    <t>LOAN FOR JAY GUPTA HITKARI</t>
  </si>
  <si>
    <t>LOAN FOR RAJ (RAJMANDIR)</t>
  </si>
  <si>
    <t>LOAN FOR RAJESH MUMBAI</t>
  </si>
  <si>
    <t>LOAN FOR SHAHRUKH KHAN</t>
  </si>
  <si>
    <t>LOAN TO ABHISHEK (KEYA)</t>
  </si>
  <si>
    <t>LOAN TO ABHISHEK GUPTA</t>
  </si>
  <si>
    <t>LOAN TO DURGA GUPTA</t>
  </si>
  <si>
    <t>LOAN TO GARGI</t>
  </si>
  <si>
    <t>LOAN TO GURPREET KEPLER</t>
  </si>
  <si>
    <t>LOAN TO HARSH JI</t>
  </si>
  <si>
    <t>LOAN TO HEMRAJ</t>
  </si>
  <si>
    <t>LOAN TO KIRTI</t>
  </si>
  <si>
    <t>LOAN TO RAJEEV DWIVEDI</t>
  </si>
  <si>
    <t>LOAN TO RAJESH</t>
  </si>
  <si>
    <t>LOAN TO SANTOSH MISHRA</t>
  </si>
  <si>
    <t>LOAN TO SARVESH TILE</t>
  </si>
  <si>
    <t>LOAN TO VIVEK SHUKLA</t>
  </si>
  <si>
    <t>SANTOSH KUMAR ADV.</t>
  </si>
  <si>
    <t>SATISH ADV.</t>
  </si>
  <si>
    <t>SHARWAN ADV.</t>
  </si>
  <si>
    <t>SUNNY ADV.</t>
  </si>
  <si>
    <t>SURAJ ADV.</t>
  </si>
  <si>
    <t>VIPIN ADV.</t>
  </si>
  <si>
    <t>LOAN FOR MANOJ RAJMANDIR</t>
  </si>
  <si>
    <t>LOAN TO SACHIN</t>
  </si>
  <si>
    <t>LOAN TO RAJESH RAJMANDIR</t>
  </si>
  <si>
    <t>Schedule E – Provision for Income Tax, Advance Tax &amp; TDS (FY 2025-26)</t>
  </si>
  <si>
    <t>A. Computation of Tax Payable</t>
  </si>
  <si>
    <t>Provision for Income Tax for FY 2025-26</t>
  </si>
  <si>
    <t>Less: Advance Tax paid</t>
  </si>
  <si>
    <t>Less: TDS Receivable (26AS)</t>
  </si>
  <si>
    <t>Net Income Tax Payable (Note 6)</t>
  </si>
  <si>
    <t>B. Advance Tax Paid</t>
  </si>
  <si>
    <t>Advance Tax – Instalment 1</t>
  </si>
  <si>
    <t>Advance Tax – Instalment 2</t>
  </si>
  <si>
    <t>Advance Tax – Instalment 3</t>
  </si>
  <si>
    <t>C. TDS Deducted by Customers (as per Form 26AS)</t>
  </si>
  <si>
    <t>Name of Deductor</t>
  </si>
  <si>
    <t>TAN</t>
  </si>
  <si>
    <t>Amount Paid /
Credited</t>
  </si>
  <si>
    <t>TDS</t>
  </si>
  <si>
    <t>PRO NATURE ORGANIC FOODS PRIVATE LIMITED</t>
  </si>
  <si>
    <t>BLRP08614E</t>
  </si>
  <si>
    <t>PRADEEP MITTAL &amp; SONS (HUF)</t>
  </si>
  <si>
    <t>DELP34264G</t>
  </si>
  <si>
    <t>PRADEEP MITTAL (HUF)</t>
  </si>
  <si>
    <t>DELP34934E</t>
  </si>
  <si>
    <t>PRAVEEN KUMAR JAIN</t>
  </si>
  <si>
    <t>DELP35113B</t>
  </si>
  <si>
    <t>RAJMANDIR HYPERMARKET</t>
  </si>
  <si>
    <t>DELR34630B</t>
  </si>
  <si>
    <t>SANJAY ARORA</t>
  </si>
  <si>
    <t>DELS36393A</t>
  </si>
  <si>
    <t>SLEEPY OWL COFFEE PRIVATE LIMITED</t>
  </si>
  <si>
    <t>DELS66394G</t>
  </si>
  <si>
    <t>VRB CONSUMER PRODUCTS PRIVATE LIMITED</t>
  </si>
  <si>
    <t>DELV11920G</t>
  </si>
  <si>
    <t>Schedule F – Month-wise Turnover as per GST Returns vs Books (FY 2025-26)</t>
  </si>
  <si>
    <t>Month</t>
  </si>
  <si>
    <t>Taxable
Turnover</t>
  </si>
  <si>
    <t>Exempt / Nil
Turnover</t>
  </si>
  <si>
    <t>Adjustment
(Aug-25)*</t>
  </si>
  <si>
    <t>Total Turnover
as per GST</t>
  </si>
  <si>
    <t>Turnover as
per Books</t>
  </si>
  <si>
    <t>Difference</t>
  </si>
  <si>
    <t>Turnover as per Books (before adjustment)</t>
  </si>
  <si>
    <t>Less: Adjustment entry passed (Sales A/c Dr. to Debtors)</t>
  </si>
  <si>
    <t>Turnover as per Books after adjustment</t>
  </si>
  <si>
    <t>Turnover as per GST Returns</t>
  </si>
  <si>
    <t>Revenue as per Statement of Profit &amp; Loss (Note 13)</t>
  </si>
  <si>
    <t>* Invoices of FY 2024-25 amounting to ₹13,11,431.96 (taxable) were reported in GSTR-1 of August 2025; the same are excluded from FY 2025-26 turnover above.</t>
  </si>
  <si>
    <t>The small residual difference is on account of rounding off in invoices.</t>
  </si>
  <si>
    <t>Schedule G – ESI Contribution (FY 2025-26)</t>
  </si>
  <si>
    <t>Employer's
Contribution</t>
  </si>
  <si>
    <t>Employee's
Contribution</t>
  </si>
  <si>
    <t>Date of
Payment</t>
  </si>
  <si>
    <t>Employer's contribution debited to Profit &amp; Loss (Note 18). March 2026 contribution of ₹3,925 paid on 15-04-2026 is shown as ESIC Payable (Note 5).</t>
  </si>
  <si>
    <t>Schedule H – Remuneration to Partners u/s 40(b)(v) of the Income-tax Act, 1961</t>
  </si>
  <si>
    <t>FY 2025-26</t>
  </si>
  <si>
    <t>FY 2024-25</t>
  </si>
  <si>
    <t>Net Profit before Tax as per Profit &amp; Loss</t>
  </si>
  <si>
    <t>Add: Remuneration to Partners debited</t>
  </si>
  <si>
    <t>Book Profit</t>
  </si>
  <si>
    <t>On first ₹6,00,000 of book profit @ 90% (or ₹3,00,000, whichever is higher)</t>
  </si>
  <si>
    <t>On balance book profit @ 60%</t>
  </si>
  <si>
    <t>Maximum Allowable Remuneration</t>
  </si>
  <si>
    <t>Remuneration actually paid</t>
  </si>
  <si>
    <t>Remuneration disallowable (if any)</t>
  </si>
  <si>
    <t>Remuneration paid is within the limit prescribed u/s 40(b)(v); no disallowance is called for. TDS u/s 194T of ₹50,000 on partners' salary is shown under Other Current Liabilities (Note 5).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</si>
</sst>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,##0;\(###,##0\);\-"/>
    <numFmt numFmtId="165" formatCode="###,##0.00;\(###,##0.00\);\-"/>
    <numFmt numFmtId="166" formatCode="dd\-mm\-yyyy"/>
  </numFmts>
  <fonts count="17" x14ac:knownFonts="1">
    <font>
      <sz val="11"/>
      <color theme="1"/>
      <name val="Calibri"/>
      <family val="2"/>
      <charset val="1"/>
    </font>
    <font>
      <b/>
      <sz val="14"/>
      <color rgb="FF1F3864"/>
      <name val="Arial"/>
      <family val="2"/>
    </font>
    <font>
      <b/>
      <sz val="10"/>
      <color rgb="FF000000"/>
      <name val="Arial"/>
      <family val="2"/>
    </font>
    <font>
      <sz val="9"/>
      <color rgb="FF595959"/>
      <name val="Arial"/>
      <family val="2"/>
    </font>
    <font>
      <b/>
      <sz val="12"/>
      <color rgb="FF1F3864"/>
      <name val="Arial"/>
      <family val="2"/>
    </font>
    <font>
      <i/>
      <sz val="9"/>
      <color rgb="FF000000"/>
      <name val="Arial"/>
      <family val="2"/>
    </font>
    <font>
      <b/>
      <sz val="10"/>
      <color rgb="FF1F3864"/>
      <name val="Arial"/>
      <family val="2"/>
    </font>
    <font>
      <i/>
      <sz val="8"/>
      <color rgb="FFC00000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b/>
      <sz val="10.5"/>
      <color rgb="FF1F3864"/>
      <name val="Arial"/>
      <family val="2"/>
    </font>
    <font>
      <sz val="10"/>
      <name val="Arial"/>
      <family val="2"/>
    </font>
    <font>
      <sz val="9.5"/>
      <color rgb="FF000000"/>
      <name val="Arial"/>
      <family val="2"/>
    </font>
    <font>
      <sz val="9"/>
      <color rgb="FF000000"/>
      <name val="Arial"/>
      <family val="2"/>
    </font>
    <font>
      <b/>
      <u/>
      <sz val="10"/>
      <color rgb="FF00000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CC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/>
    <xf numFmtId="0" fontId="8" fillId="0" borderId="0" xfId="0" applyFont="1"/>
    <xf numFmtId="0" fontId="13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6" fillId="0" borderId="2" xfId="0" applyFont="1" applyBorder="1"/>
    <xf numFmtId="0" fontId="0" fillId="0" borderId="2" xfId="0" applyBorder="1"/>
    <xf numFmtId="0" fontId="7" fillId="0" borderId="0" xfId="0" applyFont="1"/>
    <xf numFmtId="0" fontId="2" fillId="0" borderId="2" xfId="0" applyFont="1" applyBorder="1"/>
    <xf numFmtId="0" fontId="8" fillId="0" borderId="2" xfId="0" applyFont="1" applyBorder="1"/>
    <xf numFmtId="0" fontId="8" fillId="0" borderId="2" xfId="0" applyFont="1" applyBorder="1" applyAlignment="1">
      <alignment horizontal="center" vertical="center" wrapText="1"/>
    </xf>
    <xf numFmtId="164" fontId="8" fillId="0" borderId="2" xfId="0" applyNumberFormat="1" applyFont="1" applyBorder="1" applyAlignment="1">
      <alignment horizontal="right"/>
    </xf>
    <xf numFmtId="164" fontId="2" fillId="0" borderId="3" xfId="0" applyNumberFormat="1" applyFont="1" applyBorder="1" applyAlignment="1">
      <alignment horizontal="right"/>
    </xf>
    <xf numFmtId="0" fontId="2" fillId="0" borderId="0" xfId="0" applyFont="1"/>
    <xf numFmtId="0" fontId="9" fillId="0" borderId="0" xfId="0" applyFont="1"/>
    <xf numFmtId="0" fontId="8" fillId="0" borderId="0" xfId="0" applyFont="1"/>
    <xf numFmtId="165" fontId="8" fillId="0" borderId="2" xfId="0" applyNumberFormat="1" applyFont="1" applyBorder="1" applyAlignment="1">
      <alignment horizontal="right"/>
    </xf>
    <xf numFmtId="165" fontId="2" fillId="0" borderId="1" xfId="0" applyNumberFormat="1" applyFont="1" applyBorder="1" applyAlignment="1">
      <alignment horizontal="right"/>
    </xf>
    <xf numFmtId="165" fontId="2" fillId="0" borderId="2" xfId="0" applyNumberFormat="1" applyFont="1" applyBorder="1" applyAlignment="1">
      <alignment horizontal="right"/>
    </xf>
    <xf numFmtId="165" fontId="2" fillId="0" borderId="3" xfId="0" applyNumberFormat="1" applyFont="1" applyBorder="1" applyAlignment="1">
      <alignment horizontal="right"/>
    </xf>
    <xf numFmtId="0" fontId="10" fillId="0" borderId="2" xfId="0" applyFont="1" applyBorder="1"/>
    <xf numFmtId="0" fontId="11" fillId="0" borderId="0" xfId="0" applyFont="1"/>
    <xf numFmtId="0" fontId="10" fillId="0" borderId="0" xfId="0" applyFont="1"/>
    <xf numFmtId="165" fontId="12" fillId="0" borderId="2" xfId="0" applyNumberFormat="1" applyFont="1" applyBorder="1"/>
    <xf numFmtId="0" fontId="2" fillId="0" borderId="3" xfId="0" applyFont="1" applyBorder="1"/>
    <xf numFmtId="9" fontId="8" fillId="0" borderId="2" xfId="0" applyNumberFormat="1" applyFont="1" applyBorder="1" applyAlignment="1">
      <alignment horizontal="center"/>
    </xf>
    <xf numFmtId="0" fontId="0" fillId="0" borderId="3" xfId="0" applyBorder="1"/>
    <xf numFmtId="0" fontId="6" fillId="0" borderId="0" xfId="0" applyFont="1"/>
    <xf numFmtId="0" fontId="14" fillId="0" borderId="2" xfId="0" applyFont="1" applyBorder="1"/>
    <xf numFmtId="0" fontId="5" fillId="0" borderId="0" xfId="0" applyFont="1"/>
    <xf numFmtId="0" fontId="14" fillId="0" borderId="2" xfId="0" applyFont="1" applyBorder="1" applyAlignment="1">
      <alignment horizontal="center" vertical="center" wrapText="1"/>
    </xf>
    <xf numFmtId="165" fontId="14" fillId="0" borderId="2" xfId="0" applyNumberFormat="1" applyFont="1" applyBorder="1" applyAlignment="1">
      <alignment horizontal="right"/>
    </xf>
    <xf numFmtId="0" fontId="15" fillId="0" borderId="2" xfId="0" applyFont="1" applyBorder="1"/>
    <xf numFmtId="0" fontId="0" fillId="0" borderId="1" xfId="0" applyBorder="1"/>
    <xf numFmtId="0" fontId="2" fillId="0" borderId="1" xfId="0" applyFont="1" applyBorder="1"/>
    <xf numFmtId="17" fontId="8" fillId="0" borderId="2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65" fontId="12" fillId="0" borderId="1" xfId="0" applyNumberFormat="1" applyFont="1" applyBorder="1"/>
    <xf numFmtId="165" fontId="16" fillId="0" borderId="1" xfId="0" applyNumberFormat="1" applyFont="1" applyBorder="1"/>
    <xf numFmtId="166" fontId="8" fillId="0" borderId="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35</xdr:row>
      <xdr:rowOff>160560</xdr:rowOff>
    </xdr:from>
    <xdr:to>
      <xdr:col>0</xdr:col>
      <xdr:colOff>1618920</xdr:colOff>
      <xdr:row>40</xdr:row>
      <xdr:rowOff>64800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7238880"/>
          <a:ext cx="1618920" cy="856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35</xdr:row>
      <xdr:rowOff>160560</xdr:rowOff>
    </xdr:from>
    <xdr:to>
      <xdr:col>0</xdr:col>
      <xdr:colOff>1618920</xdr:colOff>
      <xdr:row>40</xdr:row>
      <xdr:rowOff>64800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7238880"/>
          <a:ext cx="1618920" cy="856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213</xdr:row>
      <xdr:rowOff>160560</xdr:rowOff>
    </xdr:from>
    <xdr:to>
      <xdr:col>0</xdr:col>
      <xdr:colOff>1618920</xdr:colOff>
      <xdr:row>218</xdr:row>
      <xdr:rowOff>64800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47491560"/>
          <a:ext cx="1618920" cy="856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27</xdr:row>
      <xdr:rowOff>12060</xdr:rowOff>
    </xdr:from>
    <xdr:to>
      <xdr:col>0</xdr:col>
      <xdr:colOff>1669720</xdr:colOff>
      <xdr:row>31</xdr:row>
      <xdr:rowOff>100810</xdr:rowOff>
    </xdr:to>
    <xdr:pic>
      <xdr:nvPicPr>
        <xdr:cNvPr id="3" name="Image 1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50800" y="5752460"/>
          <a:ext cx="1618920" cy="82535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748</xdr:row>
      <xdr:rowOff>59320</xdr:rowOff>
    </xdr:from>
    <xdr:to>
      <xdr:col>1</xdr:col>
      <xdr:colOff>1618920</xdr:colOff>
      <xdr:row>752</xdr:row>
      <xdr:rowOff>147710</xdr:rowOff>
    </xdr:to>
    <xdr:pic>
      <xdr:nvPicPr>
        <xdr:cNvPr id="4" name="Image 1" descr="Picture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558800" y="138108320"/>
          <a:ext cx="1618920" cy="82499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546100</xdr:colOff>
      <xdr:row>77</xdr:row>
      <xdr:rowOff>65670</xdr:rowOff>
    </xdr:from>
    <xdr:to>
      <xdr:col>1</xdr:col>
      <xdr:colOff>1606220</xdr:colOff>
      <xdr:row>81</xdr:row>
      <xdr:rowOff>154060</xdr:rowOff>
    </xdr:to>
    <xdr:pic>
      <xdr:nvPicPr>
        <xdr:cNvPr id="5" name="Image 1" descr="Picture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546100" y="14550020"/>
          <a:ext cx="1618920" cy="82499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160560</xdr:rowOff>
    </xdr:from>
    <xdr:to>
      <xdr:col>1</xdr:col>
      <xdr:colOff>1618920</xdr:colOff>
      <xdr:row>64</xdr:row>
      <xdr:rowOff>64800</xdr:rowOff>
    </xdr:to>
    <xdr:pic>
      <xdr:nvPicPr>
        <xdr:cNvPr id="6" name="Image 1" descr="Picture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563760" y="11868120"/>
          <a:ext cx="1618920" cy="856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37</xdr:row>
      <xdr:rowOff>160920</xdr:rowOff>
    </xdr:from>
    <xdr:to>
      <xdr:col>1</xdr:col>
      <xdr:colOff>1618920</xdr:colOff>
      <xdr:row>42</xdr:row>
      <xdr:rowOff>65160</xdr:rowOff>
    </xdr:to>
    <xdr:pic>
      <xdr:nvPicPr>
        <xdr:cNvPr id="7" name="Image 1" descr="Picture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563760" y="7867800"/>
          <a:ext cx="1618920" cy="856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33</xdr:row>
      <xdr:rowOff>160920</xdr:rowOff>
    </xdr:from>
    <xdr:to>
      <xdr:col>1</xdr:col>
      <xdr:colOff>772920</xdr:colOff>
      <xdr:row>38</xdr:row>
      <xdr:rowOff>65160</xdr:rowOff>
    </xdr:to>
    <xdr:pic>
      <xdr:nvPicPr>
        <xdr:cNvPr id="8" name="Image 1" descr="Picture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7143840"/>
          <a:ext cx="1618920" cy="856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</xdr:row>
      <xdr:rowOff>160560</xdr:rowOff>
    </xdr:from>
    <xdr:to>
      <xdr:col>1</xdr:col>
      <xdr:colOff>632160</xdr:colOff>
      <xdr:row>32</xdr:row>
      <xdr:rowOff>64800</xdr:rowOff>
    </xdr:to>
    <xdr:pic>
      <xdr:nvPicPr>
        <xdr:cNvPr id="9" name="Image 1" descr="Picture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5715000"/>
          <a:ext cx="1618920" cy="856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22</xdr:row>
      <xdr:rowOff>160560</xdr:rowOff>
    </xdr:from>
    <xdr:to>
      <xdr:col>0</xdr:col>
      <xdr:colOff>1618920</xdr:colOff>
      <xdr:row>27</xdr:row>
      <xdr:rowOff>64800</xdr:rowOff>
    </xdr:to>
    <xdr:pic>
      <xdr:nvPicPr>
        <xdr:cNvPr id="10" name="Image 1" descr="Picture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4762440"/>
          <a:ext cx="1618920" cy="8568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7"/>
  <sheetViews>
    <sheetView showGridLines="0" tabSelected="1" zoomScaleNormal="100" workbookViewId="0">
      <selection sqref="A1:D1"/>
    </sheetView>
  </sheetViews>
  <sheetFormatPr defaultColWidth="8.6328125" defaultRowHeight="14.5" x14ac:dyDescent="0.35"/>
  <cols>
    <col min="1" max="1" width="55" customWidth="1"/>
    <col min="2" max="2" width="9" customWidth="1"/>
    <col min="3" max="4" width="20" customWidth="1"/>
  </cols>
  <sheetData>
    <row r="1" spans="1:7" ht="17.399999999999999" customHeight="1" x14ac:dyDescent="0.35">
      <c r="A1" s="9" t="s">
        <v>0</v>
      </c>
      <c r="B1" s="9"/>
      <c r="C1" s="9"/>
      <c r="D1" s="9"/>
    </row>
    <row r="2" spans="1:7" ht="15" customHeight="1" x14ac:dyDescent="0.35">
      <c r="A2" s="8" t="s">
        <v>1</v>
      </c>
      <c r="B2" s="8"/>
      <c r="C2" s="8"/>
      <c r="D2" s="8"/>
    </row>
    <row r="3" spans="1:7" ht="15" customHeight="1" x14ac:dyDescent="0.35">
      <c r="A3" s="7" t="s">
        <v>2</v>
      </c>
      <c r="B3" s="7"/>
      <c r="C3" s="7"/>
      <c r="D3" s="7"/>
    </row>
    <row r="4" spans="1:7" ht="19.5" customHeight="1" x14ac:dyDescent="0.35">
      <c r="A4" s="6" t="s">
        <v>3</v>
      </c>
      <c r="B4" s="6"/>
      <c r="C4" s="6"/>
      <c r="D4" s="6"/>
    </row>
    <row r="5" spans="1:7" x14ac:dyDescent="0.35">
      <c r="D5" s="10" t="s">
        <v>4</v>
      </c>
    </row>
    <row r="6" spans="1:7" ht="30" customHeight="1" x14ac:dyDescent="0.35">
      <c r="A6" s="11" t="s">
        <v>5</v>
      </c>
      <c r="B6" s="11" t="s">
        <v>6</v>
      </c>
      <c r="C6" s="11" t="s">
        <v>7</v>
      </c>
      <c r="D6" s="11" t="s">
        <v>8</v>
      </c>
    </row>
    <row r="7" spans="1:7" x14ac:dyDescent="0.35">
      <c r="A7" s="12" t="s">
        <v>9</v>
      </c>
      <c r="B7" s="13"/>
      <c r="C7" s="13"/>
      <c r="D7" s="13"/>
      <c r="F7" s="14" t="s">
        <v>10</v>
      </c>
    </row>
    <row r="8" spans="1:7" x14ac:dyDescent="0.35">
      <c r="A8" s="15" t="s">
        <v>11</v>
      </c>
      <c r="B8" s="13"/>
      <c r="C8" s="13"/>
      <c r="D8" s="13"/>
      <c r="F8" s="14">
        <f>C17-C28</f>
        <v>0</v>
      </c>
      <c r="G8" s="14">
        <f>D17-D28</f>
        <v>0</v>
      </c>
    </row>
    <row r="9" spans="1:7" x14ac:dyDescent="0.35">
      <c r="A9" s="16" t="s">
        <v>12</v>
      </c>
      <c r="B9" s="17">
        <v>1</v>
      </c>
      <c r="C9" s="18">
        <f>Notes!B14+Notes!C14</f>
        <v>6909910.0000000056</v>
      </c>
      <c r="D9" s="18">
        <f>Notes!B23+Notes!C23</f>
        <v>4497442.0000000028</v>
      </c>
    </row>
    <row r="10" spans="1:7" x14ac:dyDescent="0.35">
      <c r="A10" s="15" t="s">
        <v>13</v>
      </c>
      <c r="B10" s="13"/>
      <c r="C10" s="13"/>
      <c r="D10" s="13"/>
    </row>
    <row r="11" spans="1:7" x14ac:dyDescent="0.35">
      <c r="A11" s="16" t="s">
        <v>14</v>
      </c>
      <c r="B11" s="17">
        <v>2</v>
      </c>
      <c r="C11" s="18">
        <f>Notes!B34</f>
        <v>1292767</v>
      </c>
      <c r="D11" s="18">
        <f>Notes!C34</f>
        <v>2117640</v>
      </c>
    </row>
    <row r="12" spans="1:7" x14ac:dyDescent="0.35">
      <c r="A12" s="15" t="s">
        <v>15</v>
      </c>
      <c r="B12" s="13"/>
      <c r="C12" s="13"/>
      <c r="D12" s="13"/>
    </row>
    <row r="13" spans="1:7" x14ac:dyDescent="0.35">
      <c r="A13" s="16" t="s">
        <v>16</v>
      </c>
      <c r="B13" s="17">
        <v>3</v>
      </c>
      <c r="C13" s="18">
        <f>Notes!B41</f>
        <v>6696656</v>
      </c>
      <c r="D13" s="18">
        <f>Notes!C41</f>
        <v>6873191</v>
      </c>
    </row>
    <row r="14" spans="1:7" x14ac:dyDescent="0.35">
      <c r="A14" s="16" t="s">
        <v>17</v>
      </c>
      <c r="B14" s="17">
        <v>4</v>
      </c>
      <c r="C14" s="18">
        <f>Notes!B47</f>
        <v>5465322</v>
      </c>
      <c r="D14" s="18">
        <f>Notes!C47</f>
        <v>5389635</v>
      </c>
    </row>
    <row r="15" spans="1:7" x14ac:dyDescent="0.35">
      <c r="A15" s="16" t="s">
        <v>18</v>
      </c>
      <c r="B15" s="17">
        <v>5</v>
      </c>
      <c r="C15" s="18">
        <f>Notes!B58</f>
        <v>166447</v>
      </c>
      <c r="D15" s="18">
        <f>Notes!C58</f>
        <v>154000</v>
      </c>
    </row>
    <row r="16" spans="1:7" x14ac:dyDescent="0.35">
      <c r="A16" s="16" t="s">
        <v>19</v>
      </c>
      <c r="B16" s="17">
        <v>6</v>
      </c>
      <c r="C16" s="18">
        <f>Notes!B64</f>
        <v>73855</v>
      </c>
      <c r="D16" s="18">
        <f>Notes!C64</f>
        <v>60664</v>
      </c>
    </row>
    <row r="17" spans="1:4" x14ac:dyDescent="0.35">
      <c r="A17" s="15" t="s">
        <v>20</v>
      </c>
      <c r="B17" s="13"/>
      <c r="C17" s="19">
        <f>C9+C11+C13+C14+C15+C16</f>
        <v>20604957.000000007</v>
      </c>
      <c r="D17" s="19">
        <f>D9+D11+D13+D14+D15+D16</f>
        <v>19092572.000000004</v>
      </c>
    </row>
    <row r="18" spans="1:4" x14ac:dyDescent="0.35">
      <c r="A18" s="13"/>
      <c r="B18" s="13"/>
      <c r="C18" s="13"/>
      <c r="D18" s="13"/>
    </row>
    <row r="19" spans="1:4" x14ac:dyDescent="0.35">
      <c r="A19" s="12" t="s">
        <v>21</v>
      </c>
      <c r="B19" s="13"/>
      <c r="C19" s="13"/>
      <c r="D19" s="13"/>
    </row>
    <row r="20" spans="1:4" x14ac:dyDescent="0.35">
      <c r="A20" s="15" t="s">
        <v>22</v>
      </c>
      <c r="B20" s="13"/>
      <c r="C20" s="13"/>
      <c r="D20" s="13"/>
    </row>
    <row r="21" spans="1:4" x14ac:dyDescent="0.35">
      <c r="A21" s="16" t="s">
        <v>23</v>
      </c>
      <c r="B21" s="17">
        <v>7</v>
      </c>
      <c r="C21" s="18">
        <f>Notes!B73</f>
        <v>1099931</v>
      </c>
      <c r="D21" s="18">
        <f>Notes!C73</f>
        <v>999649</v>
      </c>
    </row>
    <row r="22" spans="1:4" x14ac:dyDescent="0.35">
      <c r="A22" s="15" t="s">
        <v>24</v>
      </c>
      <c r="B22" s="13"/>
      <c r="C22" s="13"/>
      <c r="D22" s="13"/>
    </row>
    <row r="23" spans="1:4" x14ac:dyDescent="0.35">
      <c r="A23" s="16" t="s">
        <v>25</v>
      </c>
      <c r="B23" s="17">
        <v>8</v>
      </c>
      <c r="C23" s="18">
        <f>Notes!B79</f>
        <v>7941080</v>
      </c>
      <c r="D23" s="18">
        <f>Notes!C79</f>
        <v>7216498</v>
      </c>
    </row>
    <row r="24" spans="1:4" x14ac:dyDescent="0.35">
      <c r="A24" s="16" t="s">
        <v>26</v>
      </c>
      <c r="B24" s="17">
        <v>9</v>
      </c>
      <c r="C24" s="18">
        <f>Notes!B86</f>
        <v>9203319</v>
      </c>
      <c r="D24" s="18">
        <f>Notes!C86</f>
        <v>9242490</v>
      </c>
    </row>
    <row r="25" spans="1:4" x14ac:dyDescent="0.35">
      <c r="A25" s="16" t="s">
        <v>27</v>
      </c>
      <c r="B25" s="17">
        <v>10</v>
      </c>
      <c r="C25" s="18">
        <f>Notes!B96</f>
        <v>1033047</v>
      </c>
      <c r="D25" s="18">
        <f>Notes!C96</f>
        <v>442243</v>
      </c>
    </row>
    <row r="26" spans="1:4" x14ac:dyDescent="0.35">
      <c r="A26" s="16" t="s">
        <v>28</v>
      </c>
      <c r="B26" s="17">
        <v>11</v>
      </c>
      <c r="C26" s="18">
        <f>Notes!B102</f>
        <v>1327580</v>
      </c>
      <c r="D26" s="18">
        <f>Notes!C102</f>
        <v>1104307</v>
      </c>
    </row>
    <row r="27" spans="1:4" x14ac:dyDescent="0.35">
      <c r="A27" s="16" t="s">
        <v>29</v>
      </c>
      <c r="B27" s="17">
        <v>12</v>
      </c>
      <c r="C27" s="18">
        <f>Notes!B109</f>
        <v>0</v>
      </c>
      <c r="D27" s="18">
        <f>Notes!C109</f>
        <v>87385</v>
      </c>
    </row>
    <row r="28" spans="1:4" x14ac:dyDescent="0.35">
      <c r="A28" s="20" t="s">
        <v>20</v>
      </c>
      <c r="C28" s="19">
        <f>C21+C23+C24+C25+C26+C27</f>
        <v>20604957</v>
      </c>
      <c r="D28" s="19">
        <f>D21+D23+D24+D25+D26+D27</f>
        <v>19092572</v>
      </c>
    </row>
    <row r="30" spans="1:4" ht="25.5" customHeight="1" x14ac:dyDescent="0.35">
      <c r="A30" s="5" t="s">
        <v>30</v>
      </c>
      <c r="B30" s="5"/>
      <c r="C30" s="5"/>
      <c r="D30" s="5"/>
    </row>
    <row r="33" spans="1:3" x14ac:dyDescent="0.35">
      <c r="A33" s="21" t="s">
        <v>31</v>
      </c>
      <c r="C33" s="21" t="s">
        <v>32</v>
      </c>
    </row>
    <row r="34" spans="1:3" x14ac:dyDescent="0.35">
      <c r="A34" s="20" t="s">
        <v>33</v>
      </c>
      <c r="C34" s="20" t="s">
        <v>0</v>
      </c>
    </row>
    <row r="35" spans="1:3" x14ac:dyDescent="0.35">
      <c r="A35" s="20" t="s">
        <v>34</v>
      </c>
    </row>
    <row r="36" spans="1:3" x14ac:dyDescent="0.35">
      <c r="A36" s="22" t="s">
        <v>35</v>
      </c>
    </row>
    <row r="40" spans="1:3" x14ac:dyDescent="0.35">
      <c r="C40" s="22" t="s">
        <v>36</v>
      </c>
    </row>
    <row r="41" spans="1:3" x14ac:dyDescent="0.35">
      <c r="C41" s="20" t="s">
        <v>37</v>
      </c>
    </row>
    <row r="42" spans="1:3" x14ac:dyDescent="0.35">
      <c r="A42" s="20" t="s">
        <v>38</v>
      </c>
      <c r="C42" s="22" t="s">
        <v>39</v>
      </c>
    </row>
    <row r="43" spans="1:3" x14ac:dyDescent="0.35">
      <c r="A43" s="22" t="s">
        <v>39</v>
      </c>
    </row>
    <row r="44" spans="1:3" x14ac:dyDescent="0.35">
      <c r="A44" s="22" t="s">
        <v>40</v>
      </c>
      <c r="C44" s="22" t="s">
        <v>36</v>
      </c>
    </row>
    <row r="45" spans="1:3" x14ac:dyDescent="0.35">
      <c r="A45" s="22" t="s">
        <v>41</v>
      </c>
      <c r="C45" s="20" t="s">
        <v>42</v>
      </c>
    </row>
    <row r="46" spans="1:3" x14ac:dyDescent="0.35">
      <c r="A46" s="22" t="s">
        <v>43</v>
      </c>
      <c r="C46" s="22" t="s">
        <v>39</v>
      </c>
    </row>
    <row r="47" spans="1:3" x14ac:dyDescent="0.35">
      <c r="A47" s="22" t="s">
        <v>44</v>
      </c>
    </row>
  </sheetData>
  <mergeCells count="5">
    <mergeCell ref="A1:D1"/>
    <mergeCell ref="A2:D2"/>
    <mergeCell ref="A3:D3"/>
    <mergeCell ref="A4:D4"/>
    <mergeCell ref="A30:D30"/>
  </mergeCells>
  <pageMargins left="0.5" right="0.5" top="0.5" bottom="0.5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47"/>
  <sheetViews>
    <sheetView showGridLines="0" topLeftCell="A38" zoomScaleNormal="100" workbookViewId="0">
      <selection sqref="A1:D1"/>
    </sheetView>
  </sheetViews>
  <sheetFormatPr defaultColWidth="8.6328125" defaultRowHeight="14.5" x14ac:dyDescent="0.35"/>
  <cols>
    <col min="1" max="1" width="55" customWidth="1"/>
    <col min="2" max="2" width="9" customWidth="1"/>
    <col min="3" max="4" width="20" customWidth="1"/>
  </cols>
  <sheetData>
    <row r="1" spans="1:4" ht="17.399999999999999" customHeight="1" x14ac:dyDescent="0.35">
      <c r="A1" s="9" t="s">
        <v>0</v>
      </c>
      <c r="B1" s="9"/>
      <c r="C1" s="9"/>
      <c r="D1" s="9"/>
    </row>
    <row r="2" spans="1:4" ht="15" customHeight="1" x14ac:dyDescent="0.35">
      <c r="A2" s="8" t="s">
        <v>1</v>
      </c>
      <c r="B2" s="8"/>
      <c r="C2" s="8"/>
      <c r="D2" s="8"/>
    </row>
    <row r="3" spans="1:4" ht="15" customHeight="1" x14ac:dyDescent="0.35">
      <c r="A3" s="7" t="s">
        <v>2</v>
      </c>
      <c r="B3" s="7"/>
      <c r="C3" s="7"/>
      <c r="D3" s="7"/>
    </row>
    <row r="4" spans="1:4" ht="19.5" customHeight="1" x14ac:dyDescent="0.35">
      <c r="A4" s="6" t="s">
        <v>45</v>
      </c>
      <c r="B4" s="6"/>
      <c r="C4" s="6"/>
      <c r="D4" s="6"/>
    </row>
    <row r="5" spans="1:4" x14ac:dyDescent="0.35">
      <c r="D5" s="10" t="s">
        <v>4</v>
      </c>
    </row>
    <row r="6" spans="1:4" ht="30" customHeight="1" x14ac:dyDescent="0.35">
      <c r="A6" s="11" t="s">
        <v>5</v>
      </c>
      <c r="B6" s="11" t="s">
        <v>6</v>
      </c>
      <c r="C6" s="11" t="s">
        <v>46</v>
      </c>
      <c r="D6" s="11" t="s">
        <v>47</v>
      </c>
    </row>
    <row r="7" spans="1:4" x14ac:dyDescent="0.35">
      <c r="A7" s="16" t="s">
        <v>48</v>
      </c>
      <c r="B7" s="17">
        <v>13</v>
      </c>
      <c r="C7" s="23">
        <f>Notes!B116</f>
        <v>122693964.29000001</v>
      </c>
      <c r="D7" s="23">
        <f>Notes!C116</f>
        <v>115987811.2</v>
      </c>
    </row>
    <row r="8" spans="1:4" x14ac:dyDescent="0.35">
      <c r="A8" s="16" t="s">
        <v>49</v>
      </c>
      <c r="B8" s="17">
        <v>14</v>
      </c>
      <c r="C8" s="23">
        <f>Notes!B122</f>
        <v>4810</v>
      </c>
      <c r="D8" s="23">
        <f>Notes!C122</f>
        <v>14331.44</v>
      </c>
    </row>
    <row r="9" spans="1:4" x14ac:dyDescent="0.35">
      <c r="A9" s="15" t="s">
        <v>50</v>
      </c>
      <c r="B9" s="13"/>
      <c r="C9" s="24">
        <f>C7+C8</f>
        <v>122698774.29000001</v>
      </c>
      <c r="D9" s="24">
        <f>D7+D8</f>
        <v>116002142.64</v>
      </c>
    </row>
    <row r="10" spans="1:4" x14ac:dyDescent="0.35">
      <c r="A10" s="13"/>
      <c r="B10" s="13"/>
      <c r="C10" s="13"/>
      <c r="D10" s="13"/>
    </row>
    <row r="11" spans="1:4" x14ac:dyDescent="0.35">
      <c r="A11" s="15" t="s">
        <v>51</v>
      </c>
      <c r="B11" s="13"/>
      <c r="C11" s="13"/>
      <c r="D11" s="13"/>
    </row>
    <row r="12" spans="1:4" x14ac:dyDescent="0.35">
      <c r="A12" s="16" t="s">
        <v>52</v>
      </c>
      <c r="B12" s="17">
        <v>15</v>
      </c>
      <c r="C12" s="23">
        <f>Notes!B128</f>
        <v>111128608.92</v>
      </c>
      <c r="D12" s="23">
        <f>Notes!C128</f>
        <v>102888844.87</v>
      </c>
    </row>
    <row r="13" spans="1:4" x14ac:dyDescent="0.35">
      <c r="A13" s="16" t="s">
        <v>53</v>
      </c>
      <c r="B13" s="17">
        <v>16</v>
      </c>
      <c r="C13" s="23">
        <f>Notes!B135</f>
        <v>-724582</v>
      </c>
      <c r="D13" s="23">
        <f>Notes!C135</f>
        <v>-624286</v>
      </c>
    </row>
    <row r="14" spans="1:4" x14ac:dyDescent="0.35">
      <c r="A14" s="16" t="s">
        <v>54</v>
      </c>
      <c r="B14" s="17">
        <v>17</v>
      </c>
      <c r="C14" s="23">
        <f>Notes!B142</f>
        <v>883395.7</v>
      </c>
      <c r="D14" s="23">
        <f>Notes!C142</f>
        <v>834917.95</v>
      </c>
    </row>
    <row r="15" spans="1:4" x14ac:dyDescent="0.35">
      <c r="A15" s="16" t="s">
        <v>55</v>
      </c>
      <c r="B15" s="17">
        <v>18</v>
      </c>
      <c r="C15" s="23">
        <f>Notes!B150</f>
        <v>2304892.7800000003</v>
      </c>
      <c r="D15" s="23">
        <f>Notes!C150</f>
        <v>3562278.69</v>
      </c>
    </row>
    <row r="16" spans="1:4" x14ac:dyDescent="0.35">
      <c r="A16" s="16" t="s">
        <v>56</v>
      </c>
      <c r="B16" s="17">
        <v>19</v>
      </c>
      <c r="C16" s="23">
        <f>Notes!B156</f>
        <v>1200000</v>
      </c>
      <c r="D16" s="23">
        <f>Notes!C156</f>
        <v>1200000</v>
      </c>
    </row>
    <row r="17" spans="1:4" x14ac:dyDescent="0.35">
      <c r="A17" s="16" t="s">
        <v>57</v>
      </c>
      <c r="B17" s="17">
        <v>20</v>
      </c>
      <c r="C17" s="23">
        <f>Notes!B164</f>
        <v>585077.6399999999</v>
      </c>
      <c r="D17" s="23">
        <f>Notes!C164</f>
        <v>105139.41</v>
      </c>
    </row>
    <row r="18" spans="1:4" x14ac:dyDescent="0.35">
      <c r="A18" s="16" t="s">
        <v>58</v>
      </c>
      <c r="B18" s="17">
        <v>21</v>
      </c>
      <c r="C18" s="23">
        <f>Notes!B170</f>
        <v>221860</v>
      </c>
      <c r="D18" s="23">
        <f>Notes!C170</f>
        <v>187108</v>
      </c>
    </row>
    <row r="19" spans="1:4" x14ac:dyDescent="0.35">
      <c r="A19" s="16" t="s">
        <v>59</v>
      </c>
      <c r="B19" s="17">
        <v>22</v>
      </c>
      <c r="C19" s="23">
        <f>Notes!B191</f>
        <v>6014854.0999999996</v>
      </c>
      <c r="D19" s="23">
        <f>Notes!C191</f>
        <v>6889559.8799999999</v>
      </c>
    </row>
    <row r="20" spans="1:4" x14ac:dyDescent="0.35">
      <c r="A20" s="15" t="s">
        <v>60</v>
      </c>
      <c r="B20" s="13"/>
      <c r="C20" s="24">
        <f>SUM(C12:C19)</f>
        <v>121614107.14</v>
      </c>
      <c r="D20" s="24">
        <f>SUM(D12:D19)</f>
        <v>115043562.8</v>
      </c>
    </row>
    <row r="21" spans="1:4" x14ac:dyDescent="0.35">
      <c r="A21" s="13"/>
      <c r="B21" s="13"/>
      <c r="C21" s="13"/>
      <c r="D21" s="13"/>
    </row>
    <row r="22" spans="1:4" x14ac:dyDescent="0.35">
      <c r="A22" s="15" t="s">
        <v>61</v>
      </c>
      <c r="B22" s="13"/>
      <c r="C22" s="25">
        <f>C9-C20</f>
        <v>1084667.150000006</v>
      </c>
      <c r="D22" s="25">
        <f>D9-D20</f>
        <v>958579.84000000358</v>
      </c>
    </row>
    <row r="23" spans="1:4" x14ac:dyDescent="0.35">
      <c r="A23" s="16" t="s">
        <v>62</v>
      </c>
      <c r="B23" s="17">
        <v>23</v>
      </c>
      <c r="C23" s="23">
        <f>Notes!B197</f>
        <v>338416</v>
      </c>
      <c r="D23" s="23">
        <f>Notes!C197</f>
        <v>299076.90999999997</v>
      </c>
    </row>
    <row r="24" spans="1:4" x14ac:dyDescent="0.35">
      <c r="A24" s="15" t="s">
        <v>63</v>
      </c>
      <c r="B24" s="13"/>
      <c r="C24" s="26">
        <f>C22-C23</f>
        <v>746251.15000000596</v>
      </c>
      <c r="D24" s="26">
        <f>D22-D23</f>
        <v>659502.93000000366</v>
      </c>
    </row>
    <row r="25" spans="1:4" x14ac:dyDescent="0.35">
      <c r="A25" s="13"/>
      <c r="B25" s="13"/>
      <c r="C25" s="13"/>
      <c r="D25" s="13"/>
    </row>
    <row r="26" spans="1:4" x14ac:dyDescent="0.35">
      <c r="A26" s="27" t="s">
        <v>64</v>
      </c>
      <c r="B26" s="13"/>
      <c r="C26" s="13"/>
      <c r="D26" s="13"/>
    </row>
    <row r="27" spans="1:4" x14ac:dyDescent="0.35">
      <c r="A27" s="16" t="s">
        <v>65</v>
      </c>
      <c r="B27" s="13"/>
      <c r="C27" s="23">
        <f>ROUND(C24*0.8,2)</f>
        <v>597000.92000000004</v>
      </c>
      <c r="D27" s="23">
        <f>ROUND(D24*0.8,2)</f>
        <v>527602.34</v>
      </c>
    </row>
    <row r="28" spans="1:4" x14ac:dyDescent="0.35">
      <c r="A28" s="16" t="s">
        <v>66</v>
      </c>
      <c r="B28" s="13"/>
      <c r="C28" s="23">
        <f>C24-C27</f>
        <v>149250.23000000592</v>
      </c>
      <c r="D28" s="23">
        <f>D24-D27</f>
        <v>131900.59000000369</v>
      </c>
    </row>
    <row r="30" spans="1:4" ht="25.5" customHeight="1" x14ac:dyDescent="0.35">
      <c r="A30" s="5" t="s">
        <v>30</v>
      </c>
      <c r="B30" s="5"/>
      <c r="C30" s="5"/>
      <c r="D30" s="5"/>
    </row>
    <row r="33" spans="1:3" x14ac:dyDescent="0.35">
      <c r="A33" s="21" t="s">
        <v>31</v>
      </c>
      <c r="C33" s="21" t="s">
        <v>32</v>
      </c>
    </row>
    <row r="34" spans="1:3" x14ac:dyDescent="0.35">
      <c r="A34" s="20" t="s">
        <v>33</v>
      </c>
      <c r="C34" s="20" t="s">
        <v>0</v>
      </c>
    </row>
    <row r="35" spans="1:3" x14ac:dyDescent="0.35">
      <c r="A35" s="20" t="s">
        <v>34</v>
      </c>
    </row>
    <row r="36" spans="1:3" x14ac:dyDescent="0.35">
      <c r="A36" s="22" t="s">
        <v>35</v>
      </c>
    </row>
    <row r="40" spans="1:3" x14ac:dyDescent="0.35">
      <c r="C40" s="22" t="s">
        <v>36</v>
      </c>
    </row>
    <row r="41" spans="1:3" x14ac:dyDescent="0.35">
      <c r="C41" s="20" t="s">
        <v>37</v>
      </c>
    </row>
    <row r="42" spans="1:3" x14ac:dyDescent="0.35">
      <c r="A42" s="20" t="s">
        <v>38</v>
      </c>
      <c r="C42" s="22" t="s">
        <v>39</v>
      </c>
    </row>
    <row r="43" spans="1:3" x14ac:dyDescent="0.35">
      <c r="A43" s="22" t="s">
        <v>39</v>
      </c>
    </row>
    <row r="44" spans="1:3" x14ac:dyDescent="0.35">
      <c r="A44" s="22" t="s">
        <v>40</v>
      </c>
      <c r="C44" s="22" t="s">
        <v>36</v>
      </c>
    </row>
    <row r="45" spans="1:3" x14ac:dyDescent="0.35">
      <c r="A45" s="22" t="s">
        <v>41</v>
      </c>
      <c r="C45" s="20" t="s">
        <v>42</v>
      </c>
    </row>
    <row r="46" spans="1:3" x14ac:dyDescent="0.35">
      <c r="A46" s="22" t="s">
        <v>43</v>
      </c>
      <c r="C46" s="22" t="s">
        <v>39</v>
      </c>
    </row>
    <row r="47" spans="1:3" x14ac:dyDescent="0.35">
      <c r="A47" s="22" t="s">
        <v>44</v>
      </c>
    </row>
  </sheetData>
  <mergeCells count="5">
    <mergeCell ref="A1:D1"/>
    <mergeCell ref="A2:D2"/>
    <mergeCell ref="A3:D3"/>
    <mergeCell ref="A4:D4"/>
    <mergeCell ref="A30:D30"/>
  </mergeCells>
  <pageMargins left="0.5" right="0.5" top="0.5" bottom="0.5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225"/>
  <sheetViews>
    <sheetView showGridLines="0" topLeftCell="A63" zoomScaleNormal="100" workbookViewId="0">
      <selection sqref="A1:C1"/>
    </sheetView>
  </sheetViews>
  <sheetFormatPr defaultColWidth="8.6328125" defaultRowHeight="14.5" x14ac:dyDescent="0.35"/>
  <cols>
    <col min="1" max="1" width="62" customWidth="1"/>
    <col min="2" max="3" width="20" customWidth="1"/>
  </cols>
  <sheetData>
    <row r="1" spans="1:3" ht="17.399999999999999" customHeight="1" x14ac:dyDescent="0.35">
      <c r="A1" s="9" t="s">
        <v>0</v>
      </c>
      <c r="B1" s="9"/>
      <c r="C1" s="9"/>
    </row>
    <row r="2" spans="1:3" ht="15" customHeight="1" x14ac:dyDescent="0.35">
      <c r="A2" s="8" t="s">
        <v>1</v>
      </c>
      <c r="B2" s="8"/>
      <c r="C2" s="8"/>
    </row>
    <row r="3" spans="1:3" ht="15" customHeight="1" x14ac:dyDescent="0.35">
      <c r="A3" s="7" t="s">
        <v>2</v>
      </c>
      <c r="B3" s="7"/>
      <c r="C3" s="7"/>
    </row>
    <row r="4" spans="1:3" ht="19.5" customHeight="1" x14ac:dyDescent="0.35">
      <c r="A4" s="6" t="s">
        <v>67</v>
      </c>
      <c r="B4" s="6"/>
      <c r="C4" s="6"/>
    </row>
    <row r="5" spans="1:3" x14ac:dyDescent="0.35">
      <c r="C5" s="10" t="s">
        <v>4</v>
      </c>
    </row>
    <row r="6" spans="1:3" x14ac:dyDescent="0.35">
      <c r="A6" s="28" t="s">
        <v>68</v>
      </c>
    </row>
    <row r="7" spans="1:3" x14ac:dyDescent="0.35">
      <c r="A7" s="29" t="s">
        <v>69</v>
      </c>
    </row>
    <row r="8" spans="1:3" ht="30" customHeight="1" x14ac:dyDescent="0.35">
      <c r="A8" s="11" t="s">
        <v>5</v>
      </c>
      <c r="B8" s="11" t="s">
        <v>37</v>
      </c>
      <c r="C8" s="11" t="s">
        <v>42</v>
      </c>
    </row>
    <row r="9" spans="1:3" x14ac:dyDescent="0.35">
      <c r="A9" s="16" t="s">
        <v>70</v>
      </c>
      <c r="B9" s="23">
        <v>3092609</v>
      </c>
      <c r="C9" s="23">
        <v>1404833</v>
      </c>
    </row>
    <row r="10" spans="1:3" x14ac:dyDescent="0.35">
      <c r="A10" s="16" t="s">
        <v>71</v>
      </c>
      <c r="B10" s="23">
        <v>2006179</v>
      </c>
      <c r="C10" s="23">
        <v>615000</v>
      </c>
    </row>
    <row r="11" spans="1:3" x14ac:dyDescent="0.35">
      <c r="A11" s="16" t="s">
        <v>72</v>
      </c>
      <c r="B11" s="30">
        <f>'Profit &amp; Loss'!C27</f>
        <v>597000.92000000004</v>
      </c>
      <c r="C11" s="30">
        <f>'Profit &amp; Loss'!C28</f>
        <v>149250.23000000592</v>
      </c>
    </row>
    <row r="12" spans="1:3" x14ac:dyDescent="0.35">
      <c r="A12" s="16" t="s">
        <v>73</v>
      </c>
      <c r="B12" s="23">
        <v>954962</v>
      </c>
      <c r="C12" s="23">
        <v>0</v>
      </c>
    </row>
    <row r="13" spans="1:3" x14ac:dyDescent="0.35">
      <c r="A13" s="16" t="s">
        <v>74</v>
      </c>
      <c r="B13" s="23">
        <v>0.08</v>
      </c>
      <c r="C13" s="23">
        <v>-0.23</v>
      </c>
    </row>
    <row r="14" spans="1:3" x14ac:dyDescent="0.35">
      <c r="A14" s="31" t="s">
        <v>75</v>
      </c>
      <c r="B14" s="19">
        <f>B9+B10+B11-B12+B13</f>
        <v>4740827</v>
      </c>
      <c r="C14" s="19">
        <f>C9+C10+C11-C12+C13</f>
        <v>2169083.0000000061</v>
      </c>
    </row>
    <row r="16" spans="1:3" x14ac:dyDescent="0.35">
      <c r="A16" s="29" t="s">
        <v>76</v>
      </c>
    </row>
    <row r="17" spans="1:3" ht="30" customHeight="1" x14ac:dyDescent="0.35">
      <c r="A17" s="11" t="s">
        <v>5</v>
      </c>
      <c r="B17" s="11" t="s">
        <v>37</v>
      </c>
      <c r="C17" s="11" t="s">
        <v>42</v>
      </c>
    </row>
    <row r="18" spans="1:3" x14ac:dyDescent="0.35">
      <c r="A18" s="16" t="s">
        <v>70</v>
      </c>
      <c r="B18" s="23">
        <v>1594066</v>
      </c>
      <c r="C18" s="23">
        <v>687932</v>
      </c>
    </row>
    <row r="19" spans="1:3" x14ac:dyDescent="0.35">
      <c r="A19" s="16" t="s">
        <v>71</v>
      </c>
      <c r="B19" s="23">
        <v>970940.36</v>
      </c>
      <c r="C19" s="23">
        <v>585000</v>
      </c>
    </row>
    <row r="20" spans="1:3" x14ac:dyDescent="0.35">
      <c r="A20" s="16" t="s">
        <v>72</v>
      </c>
      <c r="B20" s="30">
        <f>'Profit &amp; Loss'!D27</f>
        <v>527602.34</v>
      </c>
      <c r="C20" s="30">
        <f>'Profit &amp; Loss'!D28</f>
        <v>131900.59000000369</v>
      </c>
    </row>
    <row r="21" spans="1:3" x14ac:dyDescent="0.35">
      <c r="A21" s="16" t="s">
        <v>73</v>
      </c>
      <c r="B21" s="23">
        <v>0</v>
      </c>
      <c r="C21" s="23">
        <v>0</v>
      </c>
    </row>
    <row r="22" spans="1:3" x14ac:dyDescent="0.35">
      <c r="A22" s="16" t="s">
        <v>74</v>
      </c>
      <c r="B22" s="23">
        <v>0.3</v>
      </c>
      <c r="C22" s="23">
        <v>0.41</v>
      </c>
    </row>
    <row r="23" spans="1:3" x14ac:dyDescent="0.35">
      <c r="A23" s="31" t="s">
        <v>75</v>
      </c>
      <c r="B23" s="19">
        <f>B18+B19+B20-B21+B22</f>
        <v>3092608.9999999995</v>
      </c>
      <c r="C23" s="19">
        <f>C18+C19+C20-C21+C22</f>
        <v>1404833.0000000035</v>
      </c>
    </row>
    <row r="25" spans="1:3" ht="25.5" customHeight="1" x14ac:dyDescent="0.35">
      <c r="A25" s="4" t="s">
        <v>77</v>
      </c>
      <c r="B25" s="4"/>
      <c r="C25" s="4"/>
    </row>
    <row r="28" spans="1:3" x14ac:dyDescent="0.35">
      <c r="A28" s="28" t="s">
        <v>78</v>
      </c>
    </row>
    <row r="29" spans="1:3" ht="30" customHeight="1" x14ac:dyDescent="0.35">
      <c r="A29" s="11" t="s">
        <v>5</v>
      </c>
      <c r="B29" s="11" t="s">
        <v>7</v>
      </c>
      <c r="C29" s="11" t="s">
        <v>8</v>
      </c>
    </row>
    <row r="30" spans="1:3" x14ac:dyDescent="0.35">
      <c r="A30" s="16" t="s">
        <v>79</v>
      </c>
      <c r="B30" s="18">
        <v>1005500</v>
      </c>
      <c r="C30" s="13"/>
    </row>
    <row r="31" spans="1:3" x14ac:dyDescent="0.35">
      <c r="A31" s="16" t="s">
        <v>80</v>
      </c>
      <c r="B31" s="18">
        <v>250000</v>
      </c>
      <c r="C31" s="18">
        <v>250000</v>
      </c>
    </row>
    <row r="32" spans="1:3" x14ac:dyDescent="0.35">
      <c r="A32" s="16" t="s">
        <v>81</v>
      </c>
      <c r="B32" s="18">
        <v>37267</v>
      </c>
      <c r="C32" s="18">
        <v>83740</v>
      </c>
    </row>
    <row r="33" spans="1:3" x14ac:dyDescent="0.35">
      <c r="A33" s="16" t="s">
        <v>82</v>
      </c>
      <c r="B33" s="18">
        <v>0</v>
      </c>
      <c r="C33" s="18">
        <v>1783900</v>
      </c>
    </row>
    <row r="34" spans="1:3" x14ac:dyDescent="0.35">
      <c r="A34" s="31" t="s">
        <v>83</v>
      </c>
      <c r="B34" s="19">
        <f>SUM(B30,B31,B32,B33)</f>
        <v>1292767</v>
      </c>
      <c r="C34" s="19">
        <f>SUM(C30,C31,C32,C33)</f>
        <v>2117640</v>
      </c>
    </row>
    <row r="35" spans="1:3" ht="25.5" customHeight="1" x14ac:dyDescent="0.35">
      <c r="A35" s="4" t="s">
        <v>84</v>
      </c>
      <c r="B35" s="4"/>
      <c r="C35" s="4"/>
    </row>
    <row r="38" spans="1:3" x14ac:dyDescent="0.35">
      <c r="A38" s="28" t="s">
        <v>85</v>
      </c>
    </row>
    <row r="39" spans="1:3" ht="30" customHeight="1" x14ac:dyDescent="0.35">
      <c r="A39" s="11" t="s">
        <v>5</v>
      </c>
      <c r="B39" s="11" t="s">
        <v>7</v>
      </c>
      <c r="C39" s="11" t="s">
        <v>8</v>
      </c>
    </row>
    <row r="40" spans="1:3" x14ac:dyDescent="0.35">
      <c r="A40" s="16" t="s">
        <v>86</v>
      </c>
      <c r="B40" s="18">
        <v>6696656</v>
      </c>
      <c r="C40" s="18">
        <v>6873191</v>
      </c>
    </row>
    <row r="41" spans="1:3" x14ac:dyDescent="0.35">
      <c r="A41" s="31" t="s">
        <v>83</v>
      </c>
      <c r="B41" s="19">
        <f>SUM(B40)</f>
        <v>6696656</v>
      </c>
      <c r="C41" s="19">
        <f>SUM(C40)</f>
        <v>6873191</v>
      </c>
    </row>
    <row r="44" spans="1:3" x14ac:dyDescent="0.35">
      <c r="A44" s="28" t="s">
        <v>87</v>
      </c>
    </row>
    <row r="45" spans="1:3" ht="30" customHeight="1" x14ac:dyDescent="0.35">
      <c r="A45" s="11" t="s">
        <v>5</v>
      </c>
      <c r="B45" s="11" t="s">
        <v>7</v>
      </c>
      <c r="C45" s="11" t="s">
        <v>8</v>
      </c>
    </row>
    <row r="46" spans="1:3" x14ac:dyDescent="0.35">
      <c r="A46" s="16" t="s">
        <v>88</v>
      </c>
      <c r="B46" s="18">
        <v>5465322</v>
      </c>
      <c r="C46" s="18">
        <v>5389635</v>
      </c>
    </row>
    <row r="47" spans="1:3" x14ac:dyDescent="0.35">
      <c r="A47" s="31" t="s">
        <v>83</v>
      </c>
      <c r="B47" s="19">
        <f>SUM(B46)</f>
        <v>5465322</v>
      </c>
      <c r="C47" s="19">
        <f>SUM(C46)</f>
        <v>5389635</v>
      </c>
    </row>
    <row r="50" spans="1:3" x14ac:dyDescent="0.35">
      <c r="A50" s="28" t="s">
        <v>89</v>
      </c>
    </row>
    <row r="51" spans="1:3" ht="30" customHeight="1" x14ac:dyDescent="0.35">
      <c r="A51" s="11" t="s">
        <v>5</v>
      </c>
      <c r="B51" s="11" t="s">
        <v>7</v>
      </c>
      <c r="C51" s="11" t="s">
        <v>8</v>
      </c>
    </row>
    <row r="52" spans="1:3" x14ac:dyDescent="0.35">
      <c r="A52" s="16" t="s">
        <v>90</v>
      </c>
      <c r="B52" s="18">
        <v>45256</v>
      </c>
      <c r="C52" s="18">
        <v>0</v>
      </c>
    </row>
    <row r="53" spans="1:3" x14ac:dyDescent="0.35">
      <c r="A53" s="16" t="s">
        <v>91</v>
      </c>
      <c r="B53" s="18">
        <v>50000</v>
      </c>
      <c r="C53" s="18">
        <v>0</v>
      </c>
    </row>
    <row r="54" spans="1:3" x14ac:dyDescent="0.35">
      <c r="A54" s="16" t="s">
        <v>92</v>
      </c>
      <c r="B54" s="18">
        <v>47266</v>
      </c>
      <c r="C54" s="18">
        <v>0</v>
      </c>
    </row>
    <row r="55" spans="1:3" x14ac:dyDescent="0.35">
      <c r="A55" s="16" t="s">
        <v>93</v>
      </c>
      <c r="B55" s="18">
        <v>3925</v>
      </c>
      <c r="C55" s="18">
        <v>0</v>
      </c>
    </row>
    <row r="56" spans="1:3" x14ac:dyDescent="0.35">
      <c r="A56" s="16" t="s">
        <v>94</v>
      </c>
      <c r="B56" s="18">
        <v>0</v>
      </c>
      <c r="C56" s="18">
        <v>134000</v>
      </c>
    </row>
    <row r="57" spans="1:3" x14ac:dyDescent="0.35">
      <c r="A57" s="16" t="s">
        <v>95</v>
      </c>
      <c r="B57" s="18">
        <v>20000</v>
      </c>
      <c r="C57" s="18">
        <v>20000</v>
      </c>
    </row>
    <row r="58" spans="1:3" x14ac:dyDescent="0.35">
      <c r="A58" s="31" t="s">
        <v>83</v>
      </c>
      <c r="B58" s="19">
        <f>SUM(B52,B53,B54,B55,B56,B57)</f>
        <v>166447</v>
      </c>
      <c r="C58" s="19">
        <f>SUM(C52,C53,C54,C55,C56,C57)</f>
        <v>154000</v>
      </c>
    </row>
    <row r="61" spans="1:3" x14ac:dyDescent="0.35">
      <c r="A61" s="28" t="s">
        <v>96</v>
      </c>
    </row>
    <row r="62" spans="1:3" ht="30" customHeight="1" x14ac:dyDescent="0.35">
      <c r="A62" s="11" t="s">
        <v>5</v>
      </c>
      <c r="B62" s="11" t="s">
        <v>7</v>
      </c>
      <c r="C62" s="11" t="s">
        <v>8</v>
      </c>
    </row>
    <row r="63" spans="1:3" x14ac:dyDescent="0.35">
      <c r="A63" s="16" t="s">
        <v>97</v>
      </c>
      <c r="B63" s="18">
        <v>73855</v>
      </c>
      <c r="C63" s="18">
        <v>60664</v>
      </c>
    </row>
    <row r="64" spans="1:3" x14ac:dyDescent="0.35">
      <c r="A64" s="31" t="s">
        <v>83</v>
      </c>
      <c r="B64" s="19">
        <f>SUM(B63)</f>
        <v>73855</v>
      </c>
      <c r="C64" s="19">
        <f>SUM(C63)</f>
        <v>60664</v>
      </c>
    </row>
    <row r="65" spans="1:3" ht="25.5" customHeight="1" x14ac:dyDescent="0.35">
      <c r="A65" s="4" t="s">
        <v>98</v>
      </c>
      <c r="B65" s="4"/>
      <c r="C65" s="4"/>
    </row>
    <row r="68" spans="1:3" x14ac:dyDescent="0.35">
      <c r="A68" s="28" t="s">
        <v>99</v>
      </c>
    </row>
    <row r="69" spans="1:3" ht="30" customHeight="1" x14ac:dyDescent="0.35">
      <c r="A69" s="11" t="s">
        <v>5</v>
      </c>
      <c r="B69" s="11" t="s">
        <v>7</v>
      </c>
      <c r="C69" s="11" t="s">
        <v>8</v>
      </c>
    </row>
    <row r="70" spans="1:3" x14ac:dyDescent="0.35">
      <c r="A70" s="16" t="s">
        <v>100</v>
      </c>
      <c r="B70" s="18">
        <v>1010188</v>
      </c>
      <c r="C70" s="18">
        <v>944700</v>
      </c>
    </row>
    <row r="71" spans="1:3" x14ac:dyDescent="0.35">
      <c r="A71" s="16" t="s">
        <v>101</v>
      </c>
      <c r="B71" s="18">
        <v>29224</v>
      </c>
      <c r="C71" s="18">
        <v>29224</v>
      </c>
    </row>
    <row r="72" spans="1:3" x14ac:dyDescent="0.35">
      <c r="A72" s="16" t="s">
        <v>102</v>
      </c>
      <c r="B72" s="18">
        <v>60519</v>
      </c>
      <c r="C72" s="18">
        <v>25725</v>
      </c>
    </row>
    <row r="73" spans="1:3" x14ac:dyDescent="0.35">
      <c r="A73" s="31" t="s">
        <v>83</v>
      </c>
      <c r="B73" s="19">
        <f>SUM(B70,B71,B72)</f>
        <v>1099931</v>
      </c>
      <c r="C73" s="19">
        <f>SUM(C70,C71,C72)</f>
        <v>999649</v>
      </c>
    </row>
    <row r="76" spans="1:3" x14ac:dyDescent="0.35">
      <c r="A76" s="28" t="s">
        <v>103</v>
      </c>
    </row>
    <row r="77" spans="1:3" ht="30" customHeight="1" x14ac:dyDescent="0.35">
      <c r="A77" s="11" t="s">
        <v>5</v>
      </c>
      <c r="B77" s="11" t="s">
        <v>7</v>
      </c>
      <c r="C77" s="11" t="s">
        <v>8</v>
      </c>
    </row>
    <row r="78" spans="1:3" x14ac:dyDescent="0.35">
      <c r="A78" s="16" t="s">
        <v>104</v>
      </c>
      <c r="B78" s="18">
        <v>7941080</v>
      </c>
      <c r="C78" s="18">
        <v>7216498</v>
      </c>
    </row>
    <row r="79" spans="1:3" x14ac:dyDescent="0.35">
      <c r="A79" s="31" t="s">
        <v>83</v>
      </c>
      <c r="B79" s="19">
        <f>SUM(B78)</f>
        <v>7941080</v>
      </c>
      <c r="C79" s="19">
        <f>SUM(C78)</f>
        <v>7216498</v>
      </c>
    </row>
    <row r="80" spans="1:3" ht="25.5" customHeight="1" x14ac:dyDescent="0.35">
      <c r="A80" s="4" t="s">
        <v>105</v>
      </c>
      <c r="B80" s="4"/>
      <c r="C80" s="4"/>
    </row>
    <row r="83" spans="1:3" x14ac:dyDescent="0.35">
      <c r="A83" s="28" t="s">
        <v>106</v>
      </c>
    </row>
    <row r="84" spans="1:3" ht="30" customHeight="1" x14ac:dyDescent="0.35">
      <c r="A84" s="11" t="s">
        <v>5</v>
      </c>
      <c r="B84" s="11" t="s">
        <v>7</v>
      </c>
      <c r="C84" s="11" t="s">
        <v>8</v>
      </c>
    </row>
    <row r="85" spans="1:3" x14ac:dyDescent="0.35">
      <c r="A85" s="16" t="s">
        <v>107</v>
      </c>
      <c r="B85" s="18">
        <v>9203319</v>
      </c>
      <c r="C85" s="18">
        <v>9242490</v>
      </c>
    </row>
    <row r="86" spans="1:3" x14ac:dyDescent="0.35">
      <c r="A86" s="31" t="s">
        <v>83</v>
      </c>
      <c r="B86" s="19">
        <f>SUM(B85)</f>
        <v>9203319</v>
      </c>
      <c r="C86" s="19">
        <f>SUM(C85)</f>
        <v>9242490</v>
      </c>
    </row>
    <row r="89" spans="1:3" x14ac:dyDescent="0.35">
      <c r="A89" s="28" t="s">
        <v>108</v>
      </c>
    </row>
    <row r="90" spans="1:3" ht="30" customHeight="1" x14ac:dyDescent="0.35">
      <c r="A90" s="11" t="s">
        <v>5</v>
      </c>
      <c r="B90" s="11" t="s">
        <v>7</v>
      </c>
      <c r="C90" s="11" t="s">
        <v>8</v>
      </c>
    </row>
    <row r="91" spans="1:3" x14ac:dyDescent="0.35">
      <c r="A91" s="16" t="s">
        <v>109</v>
      </c>
      <c r="B91" s="18">
        <v>260820</v>
      </c>
      <c r="C91" s="18">
        <v>97930</v>
      </c>
    </row>
    <row r="92" spans="1:3" x14ac:dyDescent="0.35">
      <c r="A92" s="15" t="s">
        <v>110</v>
      </c>
      <c r="B92" s="13"/>
      <c r="C92" s="13"/>
    </row>
    <row r="93" spans="1:3" x14ac:dyDescent="0.35">
      <c r="A93" s="16" t="s">
        <v>111</v>
      </c>
      <c r="B93" s="18">
        <v>772146</v>
      </c>
      <c r="C93" s="13"/>
    </row>
    <row r="94" spans="1:3" x14ac:dyDescent="0.35">
      <c r="A94" s="16" t="s">
        <v>112</v>
      </c>
      <c r="B94" s="18">
        <v>81</v>
      </c>
      <c r="C94" s="13"/>
    </row>
    <row r="95" spans="1:3" x14ac:dyDescent="0.35">
      <c r="A95" s="16" t="s">
        <v>113</v>
      </c>
      <c r="B95" s="13"/>
      <c r="C95" s="18">
        <v>344313</v>
      </c>
    </row>
    <row r="96" spans="1:3" x14ac:dyDescent="0.35">
      <c r="A96" s="31" t="s">
        <v>83</v>
      </c>
      <c r="B96" s="19">
        <f>SUM(B91,B93,B94,B95)</f>
        <v>1033047</v>
      </c>
      <c r="C96" s="19">
        <f>SUM(C91,C93,C94,C95)</f>
        <v>442243</v>
      </c>
    </row>
    <row r="99" spans="1:3" x14ac:dyDescent="0.35">
      <c r="A99" s="28" t="s">
        <v>114</v>
      </c>
    </row>
    <row r="100" spans="1:3" ht="30" customHeight="1" x14ac:dyDescent="0.35">
      <c r="A100" s="11" t="s">
        <v>5</v>
      </c>
      <c r="B100" s="11" t="s">
        <v>7</v>
      </c>
      <c r="C100" s="11" t="s">
        <v>8</v>
      </c>
    </row>
    <row r="101" spans="1:3" x14ac:dyDescent="0.35">
      <c r="A101" s="16" t="s">
        <v>115</v>
      </c>
      <c r="B101" s="18">
        <v>1327580</v>
      </c>
      <c r="C101" s="18">
        <v>1104307</v>
      </c>
    </row>
    <row r="102" spans="1:3" x14ac:dyDescent="0.35">
      <c r="A102" s="31" t="s">
        <v>83</v>
      </c>
      <c r="B102" s="19">
        <f>SUM(B101)</f>
        <v>1327580</v>
      </c>
      <c r="C102" s="19">
        <f>SUM(C101)</f>
        <v>1104307</v>
      </c>
    </row>
    <row r="105" spans="1:3" x14ac:dyDescent="0.35">
      <c r="A105" s="28" t="s">
        <v>116</v>
      </c>
    </row>
    <row r="106" spans="1:3" ht="30" customHeight="1" x14ac:dyDescent="0.35">
      <c r="A106" s="11" t="s">
        <v>5</v>
      </c>
      <c r="B106" s="11" t="s">
        <v>7</v>
      </c>
      <c r="C106" s="11" t="s">
        <v>8</v>
      </c>
    </row>
    <row r="107" spans="1:3" x14ac:dyDescent="0.35">
      <c r="A107" s="16" t="s">
        <v>117</v>
      </c>
      <c r="B107" s="18">
        <v>0</v>
      </c>
      <c r="C107" s="18">
        <v>57000</v>
      </c>
    </row>
    <row r="108" spans="1:3" x14ac:dyDescent="0.35">
      <c r="A108" s="16" t="s">
        <v>118</v>
      </c>
      <c r="B108" s="18">
        <v>0</v>
      </c>
      <c r="C108" s="18">
        <v>30385</v>
      </c>
    </row>
    <row r="109" spans="1:3" x14ac:dyDescent="0.35">
      <c r="A109" s="31" t="s">
        <v>83</v>
      </c>
      <c r="B109" s="19">
        <f>SUM(B107,B108)</f>
        <v>0</v>
      </c>
      <c r="C109" s="19">
        <f>SUM(C107,C108)</f>
        <v>87385</v>
      </c>
    </row>
    <row r="110" spans="1:3" ht="25.5" customHeight="1" x14ac:dyDescent="0.35">
      <c r="A110" s="4" t="s">
        <v>119</v>
      </c>
      <c r="B110" s="4"/>
      <c r="C110" s="4"/>
    </row>
    <row r="113" spans="1:3" x14ac:dyDescent="0.35">
      <c r="A113" s="28" t="s">
        <v>120</v>
      </c>
    </row>
    <row r="114" spans="1:3" ht="30" customHeight="1" x14ac:dyDescent="0.35">
      <c r="A114" s="11" t="s">
        <v>5</v>
      </c>
      <c r="B114" s="11" t="s">
        <v>46</v>
      </c>
      <c r="C114" s="11" t="s">
        <v>47</v>
      </c>
    </row>
    <row r="115" spans="1:3" x14ac:dyDescent="0.35">
      <c r="A115" s="16" t="s">
        <v>121</v>
      </c>
      <c r="B115" s="23">
        <v>122693964.29000001</v>
      </c>
      <c r="C115" s="23">
        <v>115987811.2</v>
      </c>
    </row>
    <row r="116" spans="1:3" x14ac:dyDescent="0.35">
      <c r="A116" s="31" t="s">
        <v>83</v>
      </c>
      <c r="B116" s="26">
        <f>SUM(B115)</f>
        <v>122693964.29000001</v>
      </c>
      <c r="C116" s="26">
        <f>SUM(C115)</f>
        <v>115987811.2</v>
      </c>
    </row>
    <row r="119" spans="1:3" x14ac:dyDescent="0.35">
      <c r="A119" s="28" t="s">
        <v>122</v>
      </c>
    </row>
    <row r="120" spans="1:3" ht="30" customHeight="1" x14ac:dyDescent="0.35">
      <c r="A120" s="11" t="s">
        <v>5</v>
      </c>
      <c r="B120" s="11" t="s">
        <v>46</v>
      </c>
      <c r="C120" s="11" t="s">
        <v>47</v>
      </c>
    </row>
    <row r="121" spans="1:3" x14ac:dyDescent="0.35">
      <c r="A121" s="16" t="s">
        <v>123</v>
      </c>
      <c r="B121" s="23">
        <v>4810</v>
      </c>
      <c r="C121" s="23">
        <v>14331.44</v>
      </c>
    </row>
    <row r="122" spans="1:3" x14ac:dyDescent="0.35">
      <c r="A122" s="31" t="s">
        <v>83</v>
      </c>
      <c r="B122" s="26">
        <f>SUM(B121)</f>
        <v>4810</v>
      </c>
      <c r="C122" s="26">
        <f>SUM(C121)</f>
        <v>14331.44</v>
      </c>
    </row>
    <row r="125" spans="1:3" x14ac:dyDescent="0.35">
      <c r="A125" s="28" t="s">
        <v>124</v>
      </c>
    </row>
    <row r="126" spans="1:3" ht="30" customHeight="1" x14ac:dyDescent="0.35">
      <c r="A126" s="11" t="s">
        <v>5</v>
      </c>
      <c r="B126" s="11" t="s">
        <v>46</v>
      </c>
      <c r="C126" s="11" t="s">
        <v>47</v>
      </c>
    </row>
    <row r="127" spans="1:3" x14ac:dyDescent="0.35">
      <c r="A127" s="16" t="s">
        <v>125</v>
      </c>
      <c r="B127" s="23">
        <v>111128608.92</v>
      </c>
      <c r="C127" s="23">
        <v>102888844.87</v>
      </c>
    </row>
    <row r="128" spans="1:3" x14ac:dyDescent="0.35">
      <c r="A128" s="31" t="s">
        <v>83</v>
      </c>
      <c r="B128" s="26">
        <f>SUM(B127)</f>
        <v>111128608.92</v>
      </c>
      <c r="C128" s="26">
        <f>SUM(C127)</f>
        <v>102888844.87</v>
      </c>
    </row>
    <row r="131" spans="1:3" x14ac:dyDescent="0.35">
      <c r="A131" s="28" t="s">
        <v>126</v>
      </c>
    </row>
    <row r="132" spans="1:3" ht="30" customHeight="1" x14ac:dyDescent="0.35">
      <c r="A132" s="11" t="s">
        <v>5</v>
      </c>
      <c r="B132" s="11" t="s">
        <v>46</v>
      </c>
      <c r="C132" s="11" t="s">
        <v>47</v>
      </c>
    </row>
    <row r="133" spans="1:3" x14ac:dyDescent="0.35">
      <c r="A133" s="16" t="s">
        <v>127</v>
      </c>
      <c r="B133" s="23">
        <v>7216498</v>
      </c>
      <c r="C133" s="23">
        <v>6592212</v>
      </c>
    </row>
    <row r="134" spans="1:3" x14ac:dyDescent="0.35">
      <c r="A134" s="16" t="s">
        <v>128</v>
      </c>
      <c r="B134" s="23">
        <v>7941080</v>
      </c>
      <c r="C134" s="23">
        <v>7216498</v>
      </c>
    </row>
    <row r="135" spans="1:3" x14ac:dyDescent="0.35">
      <c r="A135" s="31" t="s">
        <v>129</v>
      </c>
      <c r="B135" s="26">
        <f>B133-B134</f>
        <v>-724582</v>
      </c>
      <c r="C135" s="26">
        <f>C133-C134</f>
        <v>-624286</v>
      </c>
    </row>
    <row r="138" spans="1:3" x14ac:dyDescent="0.35">
      <c r="A138" s="28" t="s">
        <v>130</v>
      </c>
    </row>
    <row r="139" spans="1:3" ht="30" customHeight="1" x14ac:dyDescent="0.35">
      <c r="A139" s="11" t="s">
        <v>5</v>
      </c>
      <c r="B139" s="11" t="s">
        <v>46</v>
      </c>
      <c r="C139" s="11" t="s">
        <v>47</v>
      </c>
    </row>
    <row r="140" spans="1:3" x14ac:dyDescent="0.35">
      <c r="A140" s="16" t="s">
        <v>131</v>
      </c>
      <c r="B140" s="23">
        <v>234000</v>
      </c>
      <c r="C140" s="23">
        <v>272592</v>
      </c>
    </row>
    <row r="141" spans="1:3" x14ac:dyDescent="0.35">
      <c r="A141" s="16" t="s">
        <v>132</v>
      </c>
      <c r="B141" s="23">
        <v>649395.69999999995</v>
      </c>
      <c r="C141" s="23">
        <v>562325.94999999995</v>
      </c>
    </row>
    <row r="142" spans="1:3" x14ac:dyDescent="0.35">
      <c r="A142" s="31" t="s">
        <v>83</v>
      </c>
      <c r="B142" s="26">
        <f>SUM(B140,B141)</f>
        <v>883395.7</v>
      </c>
      <c r="C142" s="26">
        <f>SUM(C140,C141)</f>
        <v>834917.95</v>
      </c>
    </row>
    <row r="145" spans="1:3" x14ac:dyDescent="0.35">
      <c r="A145" s="28" t="s">
        <v>133</v>
      </c>
    </row>
    <row r="146" spans="1:3" ht="30" customHeight="1" x14ac:dyDescent="0.35">
      <c r="A146" s="11" t="s">
        <v>5</v>
      </c>
      <c r="B146" s="11" t="s">
        <v>46</v>
      </c>
      <c r="C146" s="11" t="s">
        <v>47</v>
      </c>
    </row>
    <row r="147" spans="1:3" x14ac:dyDescent="0.35">
      <c r="A147" s="16" t="s">
        <v>134</v>
      </c>
      <c r="B147" s="23">
        <v>1825063</v>
      </c>
      <c r="C147" s="23">
        <v>2747079</v>
      </c>
    </row>
    <row r="148" spans="1:3" x14ac:dyDescent="0.35">
      <c r="A148" s="16" t="s">
        <v>135</v>
      </c>
      <c r="B148" s="23">
        <v>440637.78</v>
      </c>
      <c r="C148" s="23">
        <v>761000.69</v>
      </c>
    </row>
    <row r="149" spans="1:3" x14ac:dyDescent="0.35">
      <c r="A149" s="16" t="s">
        <v>136</v>
      </c>
      <c r="B149" s="23">
        <v>39192</v>
      </c>
      <c r="C149" s="23">
        <v>54199</v>
      </c>
    </row>
    <row r="150" spans="1:3" x14ac:dyDescent="0.35">
      <c r="A150" s="31" t="s">
        <v>83</v>
      </c>
      <c r="B150" s="26">
        <f>SUM(B147,B148,B149)</f>
        <v>2304892.7800000003</v>
      </c>
      <c r="C150" s="26">
        <f>SUM(C147,C148,C149)</f>
        <v>3562278.69</v>
      </c>
    </row>
    <row r="153" spans="1:3" x14ac:dyDescent="0.35">
      <c r="A153" s="28" t="s">
        <v>137</v>
      </c>
    </row>
    <row r="154" spans="1:3" ht="30" customHeight="1" x14ac:dyDescent="0.35">
      <c r="A154" s="11" t="s">
        <v>5</v>
      </c>
      <c r="B154" s="11" t="s">
        <v>46</v>
      </c>
      <c r="C154" s="11" t="s">
        <v>47</v>
      </c>
    </row>
    <row r="155" spans="1:3" x14ac:dyDescent="0.35">
      <c r="A155" s="16" t="s">
        <v>138</v>
      </c>
      <c r="B155" s="23">
        <v>1200000</v>
      </c>
      <c r="C155" s="23">
        <v>1200000</v>
      </c>
    </row>
    <row r="156" spans="1:3" x14ac:dyDescent="0.35">
      <c r="A156" s="31" t="s">
        <v>83</v>
      </c>
      <c r="B156" s="26">
        <f>SUM(B155)</f>
        <v>1200000</v>
      </c>
      <c r="C156" s="26">
        <f>SUM(C155)</f>
        <v>1200000</v>
      </c>
    </row>
    <row r="157" spans="1:3" ht="25.5" customHeight="1" x14ac:dyDescent="0.35">
      <c r="A157" s="4" t="s">
        <v>139</v>
      </c>
      <c r="B157" s="4"/>
      <c r="C157" s="4"/>
    </row>
    <row r="160" spans="1:3" x14ac:dyDescent="0.35">
      <c r="A160" s="28" t="s">
        <v>140</v>
      </c>
    </row>
    <row r="161" spans="1:3" ht="30" customHeight="1" x14ac:dyDescent="0.35">
      <c r="A161" s="11" t="s">
        <v>5</v>
      </c>
      <c r="B161" s="11" t="s">
        <v>46</v>
      </c>
      <c r="C161" s="11" t="s">
        <v>47</v>
      </c>
    </row>
    <row r="162" spans="1:3" x14ac:dyDescent="0.35">
      <c r="A162" s="16" t="s">
        <v>141</v>
      </c>
      <c r="B162" s="23">
        <v>529666.19999999995</v>
      </c>
      <c r="C162" s="23">
        <v>21615</v>
      </c>
    </row>
    <row r="163" spans="1:3" x14ac:dyDescent="0.35">
      <c r="A163" s="16" t="s">
        <v>142</v>
      </c>
      <c r="B163" s="23">
        <v>55411.44</v>
      </c>
      <c r="C163" s="23">
        <v>83524.41</v>
      </c>
    </row>
    <row r="164" spans="1:3" x14ac:dyDescent="0.35">
      <c r="A164" s="31" t="s">
        <v>83</v>
      </c>
      <c r="B164" s="26">
        <f>SUM(B162,B163)</f>
        <v>585077.6399999999</v>
      </c>
      <c r="C164" s="26">
        <f>SUM(C162,C163)</f>
        <v>105139.41</v>
      </c>
    </row>
    <row r="167" spans="1:3" x14ac:dyDescent="0.35">
      <c r="A167" s="28" t="s">
        <v>143</v>
      </c>
    </row>
    <row r="168" spans="1:3" ht="30" customHeight="1" x14ac:dyDescent="0.35">
      <c r="A168" s="11" t="s">
        <v>5</v>
      </c>
      <c r="B168" s="11" t="s">
        <v>46</v>
      </c>
      <c r="C168" s="11" t="s">
        <v>47</v>
      </c>
    </row>
    <row r="169" spans="1:3" x14ac:dyDescent="0.35">
      <c r="A169" s="16" t="s">
        <v>144</v>
      </c>
      <c r="B169" s="23">
        <v>221860</v>
      </c>
      <c r="C169" s="23">
        <v>187108</v>
      </c>
    </row>
    <row r="170" spans="1:3" x14ac:dyDescent="0.35">
      <c r="A170" s="31" t="s">
        <v>83</v>
      </c>
      <c r="B170" s="26">
        <f>SUM(B169)</f>
        <v>221860</v>
      </c>
      <c r="C170" s="26">
        <f>SUM(C169)</f>
        <v>187108</v>
      </c>
    </row>
    <row r="173" spans="1:3" x14ac:dyDescent="0.35">
      <c r="A173" s="28" t="s">
        <v>145</v>
      </c>
    </row>
    <row r="174" spans="1:3" ht="30" customHeight="1" x14ac:dyDescent="0.35">
      <c r="A174" s="11" t="s">
        <v>5</v>
      </c>
      <c r="B174" s="11" t="s">
        <v>46</v>
      </c>
      <c r="C174" s="11" t="s">
        <v>47</v>
      </c>
    </row>
    <row r="175" spans="1:3" x14ac:dyDescent="0.35">
      <c r="A175" s="16" t="s">
        <v>146</v>
      </c>
      <c r="B175" s="23">
        <v>43800</v>
      </c>
      <c r="C175" s="23">
        <v>42800</v>
      </c>
    </row>
    <row r="176" spans="1:3" x14ac:dyDescent="0.35">
      <c r="A176" s="16" t="s">
        <v>147</v>
      </c>
      <c r="B176" s="23">
        <v>531744.86</v>
      </c>
      <c r="C176" s="23">
        <v>522031.14</v>
      </c>
    </row>
    <row r="177" spans="1:3" x14ac:dyDescent="0.35">
      <c r="A177" s="16" t="s">
        <v>148</v>
      </c>
      <c r="B177" s="23">
        <v>954384</v>
      </c>
      <c r="C177" s="23">
        <v>697531</v>
      </c>
    </row>
    <row r="178" spans="1:3" x14ac:dyDescent="0.35">
      <c r="A178" s="16" t="s">
        <v>149</v>
      </c>
      <c r="B178" s="23">
        <v>203320</v>
      </c>
      <c r="C178" s="23">
        <v>49249.599999999999</v>
      </c>
    </row>
    <row r="179" spans="1:3" x14ac:dyDescent="0.35">
      <c r="A179" s="16" t="s">
        <v>150</v>
      </c>
      <c r="B179" s="23">
        <v>9087.2800000000007</v>
      </c>
      <c r="C179" s="23">
        <v>12421.25</v>
      </c>
    </row>
    <row r="180" spans="1:3" x14ac:dyDescent="0.35">
      <c r="A180" s="16" t="s">
        <v>151</v>
      </c>
      <c r="B180" s="23">
        <v>467688.17</v>
      </c>
      <c r="C180" s="23">
        <v>467572.82</v>
      </c>
    </row>
    <row r="181" spans="1:3" x14ac:dyDescent="0.35">
      <c r="A181" s="16" t="s">
        <v>152</v>
      </c>
      <c r="B181" s="23">
        <v>117010</v>
      </c>
      <c r="C181" s="23">
        <v>267062</v>
      </c>
    </row>
    <row r="182" spans="1:3" x14ac:dyDescent="0.35">
      <c r="A182" s="16" t="s">
        <v>153</v>
      </c>
      <c r="B182" s="23">
        <v>4701</v>
      </c>
      <c r="C182" s="23">
        <v>700062.46</v>
      </c>
    </row>
    <row r="183" spans="1:3" x14ac:dyDescent="0.35">
      <c r="A183" s="16" t="s">
        <v>154</v>
      </c>
      <c r="B183" s="23">
        <v>35000</v>
      </c>
      <c r="C183" s="23">
        <v>48500</v>
      </c>
    </row>
    <row r="184" spans="1:3" x14ac:dyDescent="0.35">
      <c r="A184" s="16" t="s">
        <v>155</v>
      </c>
      <c r="B184" s="23">
        <v>286435.98</v>
      </c>
      <c r="C184" s="23">
        <v>256926.78</v>
      </c>
    </row>
    <row r="185" spans="1:3" x14ac:dyDescent="0.35">
      <c r="A185" s="16" t="s">
        <v>156</v>
      </c>
      <c r="B185" s="23">
        <v>20000</v>
      </c>
      <c r="C185" s="23">
        <v>20000</v>
      </c>
    </row>
    <row r="186" spans="1:3" x14ac:dyDescent="0.35">
      <c r="A186" s="16" t="s">
        <v>157</v>
      </c>
      <c r="B186" s="23">
        <v>145801.79</v>
      </c>
      <c r="C186" s="23">
        <v>590505</v>
      </c>
    </row>
    <row r="187" spans="1:3" x14ac:dyDescent="0.35">
      <c r="A187" s="16" t="s">
        <v>158</v>
      </c>
      <c r="B187" s="23">
        <v>2203678</v>
      </c>
      <c r="C187" s="23">
        <v>2557081.96</v>
      </c>
    </row>
    <row r="188" spans="1:3" x14ac:dyDescent="0.35">
      <c r="A188" s="16" t="s">
        <v>159</v>
      </c>
      <c r="B188" s="23">
        <v>615397</v>
      </c>
      <c r="C188" s="23">
        <v>535127.87</v>
      </c>
    </row>
    <row r="189" spans="1:3" x14ac:dyDescent="0.35">
      <c r="A189" s="16" t="s">
        <v>160</v>
      </c>
      <c r="B189" s="23">
        <v>73645</v>
      </c>
      <c r="C189" s="23">
        <v>44561</v>
      </c>
    </row>
    <row r="190" spans="1:3" x14ac:dyDescent="0.35">
      <c r="A190" s="16" t="s">
        <v>161</v>
      </c>
      <c r="B190" s="23">
        <v>303161.02</v>
      </c>
      <c r="C190" s="23">
        <v>78127</v>
      </c>
    </row>
    <row r="191" spans="1:3" x14ac:dyDescent="0.35">
      <c r="A191" s="31" t="s">
        <v>83</v>
      </c>
      <c r="B191" s="26">
        <f>SUM(B175,B176,B177,B178,B179,B180,B181,B182,B183,B184,B185,B186,B187,B188,B189,B190)</f>
        <v>6014854.0999999996</v>
      </c>
      <c r="C191" s="26">
        <f>SUM(C175,C176,C177,C178,C179,C180,C181,C182,C183,C184,C185,C186,C187,C188,C189,C190)</f>
        <v>6889559.8799999999</v>
      </c>
    </row>
    <row r="194" spans="1:3" x14ac:dyDescent="0.35">
      <c r="A194" s="28" t="s">
        <v>162</v>
      </c>
    </row>
    <row r="195" spans="1:3" ht="30" customHeight="1" x14ac:dyDescent="0.35">
      <c r="A195" s="11" t="s">
        <v>5</v>
      </c>
      <c r="B195" s="11" t="s">
        <v>46</v>
      </c>
      <c r="C195" s="11" t="s">
        <v>47</v>
      </c>
    </row>
    <row r="196" spans="1:3" x14ac:dyDescent="0.35">
      <c r="A196" s="16" t="s">
        <v>163</v>
      </c>
      <c r="B196" s="23">
        <v>338416</v>
      </c>
      <c r="C196" s="23">
        <v>299076.90999999997</v>
      </c>
    </row>
    <row r="197" spans="1:3" x14ac:dyDescent="0.35">
      <c r="A197" s="31" t="s">
        <v>83</v>
      </c>
      <c r="B197" s="26">
        <f>SUM(B196)</f>
        <v>338416</v>
      </c>
      <c r="C197" s="26">
        <f>SUM(C196)</f>
        <v>299076.90999999997</v>
      </c>
    </row>
    <row r="200" spans="1:3" x14ac:dyDescent="0.35">
      <c r="A200" s="28" t="s">
        <v>164</v>
      </c>
    </row>
    <row r="201" spans="1:3" ht="27.75" customHeight="1" x14ac:dyDescent="0.35">
      <c r="A201" s="3" t="s">
        <v>165</v>
      </c>
      <c r="B201" s="3"/>
      <c r="C201" s="3"/>
    </row>
    <row r="202" spans="1:3" ht="27.75" customHeight="1" x14ac:dyDescent="0.35">
      <c r="A202" s="3" t="s">
        <v>166</v>
      </c>
      <c r="B202" s="3"/>
      <c r="C202" s="3"/>
    </row>
    <row r="203" spans="1:3" ht="27.75" customHeight="1" x14ac:dyDescent="0.35">
      <c r="A203" s="3" t="s">
        <v>167</v>
      </c>
      <c r="B203" s="3"/>
      <c r="C203" s="3"/>
    </row>
    <row r="204" spans="1:3" ht="27.75" customHeight="1" x14ac:dyDescent="0.35">
      <c r="A204" s="3" t="s">
        <v>168</v>
      </c>
      <c r="B204" s="3"/>
      <c r="C204" s="3"/>
    </row>
    <row r="205" spans="1:3" ht="27.75" customHeight="1" x14ac:dyDescent="0.35">
      <c r="A205" s="3" t="s">
        <v>169</v>
      </c>
      <c r="B205" s="3"/>
      <c r="C205" s="3"/>
    </row>
    <row r="206" spans="1:3" ht="27.75" customHeight="1" x14ac:dyDescent="0.35">
      <c r="A206" s="3" t="s">
        <v>170</v>
      </c>
      <c r="B206" s="3"/>
      <c r="C206" s="3"/>
    </row>
    <row r="207" spans="1:3" ht="27.75" customHeight="1" x14ac:dyDescent="0.35">
      <c r="A207" s="3" t="s">
        <v>171</v>
      </c>
      <c r="B207" s="3"/>
      <c r="C207" s="3"/>
    </row>
    <row r="208" spans="1:3" ht="27.75" customHeight="1" x14ac:dyDescent="0.35">
      <c r="A208" s="3" t="s">
        <v>172</v>
      </c>
      <c r="B208" s="3"/>
      <c r="C208" s="3"/>
    </row>
    <row r="211" spans="1:2" x14ac:dyDescent="0.35">
      <c r="A211" s="21" t="s">
        <v>31</v>
      </c>
      <c r="B211" s="21" t="s">
        <v>32</v>
      </c>
    </row>
    <row r="212" spans="1:2" x14ac:dyDescent="0.35">
      <c r="A212" s="20" t="s">
        <v>33</v>
      </c>
      <c r="B212" s="20" t="s">
        <v>0</v>
      </c>
    </row>
    <row r="213" spans="1:2" x14ac:dyDescent="0.35">
      <c r="A213" s="20" t="s">
        <v>34</v>
      </c>
    </row>
    <row r="214" spans="1:2" x14ac:dyDescent="0.35">
      <c r="A214" s="22" t="s">
        <v>35</v>
      </c>
    </row>
    <row r="218" spans="1:2" x14ac:dyDescent="0.35">
      <c r="B218" s="22" t="s">
        <v>36</v>
      </c>
    </row>
    <row r="219" spans="1:2" x14ac:dyDescent="0.35">
      <c r="B219" s="20" t="s">
        <v>37</v>
      </c>
    </row>
    <row r="220" spans="1:2" x14ac:dyDescent="0.35">
      <c r="A220" s="20" t="s">
        <v>38</v>
      </c>
      <c r="B220" s="22" t="s">
        <v>39</v>
      </c>
    </row>
    <row r="221" spans="1:2" x14ac:dyDescent="0.35">
      <c r="A221" s="22" t="s">
        <v>39</v>
      </c>
    </row>
    <row r="222" spans="1:2" x14ac:dyDescent="0.35">
      <c r="A222" s="22" t="s">
        <v>40</v>
      </c>
      <c r="B222" s="22" t="s">
        <v>36</v>
      </c>
    </row>
    <row r="223" spans="1:2" x14ac:dyDescent="0.35">
      <c r="A223" s="22" t="s">
        <v>41</v>
      </c>
      <c r="B223" s="20" t="s">
        <v>42</v>
      </c>
    </row>
    <row r="224" spans="1:2" x14ac:dyDescent="0.35">
      <c r="A224" s="22" t="s">
        <v>43</v>
      </c>
      <c r="B224" s="22" t="s">
        <v>39</v>
      </c>
    </row>
    <row r="225" spans="1:1" x14ac:dyDescent="0.35">
      <c r="A225" s="22" t="s">
        <v>44</v>
      </c>
    </row>
  </sheetData>
  <mergeCells count="18">
    <mergeCell ref="A206:C206"/>
    <mergeCell ref="A207:C207"/>
    <mergeCell ref="A208:C208"/>
    <mergeCell ref="A201:C201"/>
    <mergeCell ref="A202:C202"/>
    <mergeCell ref="A203:C203"/>
    <mergeCell ref="A204:C204"/>
    <mergeCell ref="A205:C205"/>
    <mergeCell ref="A35:C35"/>
    <mergeCell ref="A65:C65"/>
    <mergeCell ref="A80:C80"/>
    <mergeCell ref="A110:C110"/>
    <mergeCell ref="A157:C157"/>
    <mergeCell ref="A1:C1"/>
    <mergeCell ref="A2:C2"/>
    <mergeCell ref="A3:C3"/>
    <mergeCell ref="A4:C4"/>
    <mergeCell ref="A25:C25"/>
  </mergeCells>
  <pageMargins left="0.5" right="0.5" top="0.5" bottom="0.5" header="0.511811023622047" footer="0.511811023622047"/>
  <pageSetup paperSize="9" fitToHeight="0" orientation="portrait" horizontalDpi="300" verticalDpi="300"/>
  <rowBreaks count="5" manualBreakCount="5">
    <brk id="49" max="16383" man="1"/>
    <brk id="88" max="16383" man="1"/>
    <brk id="130" max="16383" man="1"/>
    <brk id="172" max="16383" man="1"/>
    <brk id="210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38"/>
  <sheetViews>
    <sheetView showGridLines="0" topLeftCell="A20" zoomScaleNormal="100" workbookViewId="0">
      <selection activeCell="D32" sqref="D32"/>
    </sheetView>
  </sheetViews>
  <sheetFormatPr defaultColWidth="8.6328125" defaultRowHeight="14.5" x14ac:dyDescent="0.35"/>
  <cols>
    <col min="1" max="1" width="34" customWidth="1"/>
    <col min="2" max="3" width="14" customWidth="1"/>
    <col min="4" max="4" width="13" customWidth="1"/>
    <col min="5" max="5" width="11" customWidth="1"/>
    <col min="6" max="6" width="15" customWidth="1"/>
    <col min="7" max="7" width="8.90625" bestFit="1" customWidth="1"/>
    <col min="8" max="8" width="14" customWidth="1"/>
    <col min="9" max="9" width="15" customWidth="1"/>
  </cols>
  <sheetData>
    <row r="1" spans="1:9" ht="17.399999999999999" customHeight="1" x14ac:dyDescent="0.35">
      <c r="A1" s="9" t="s">
        <v>0</v>
      </c>
      <c r="B1" s="9"/>
      <c r="C1" s="9"/>
      <c r="D1" s="9"/>
      <c r="E1" s="9"/>
      <c r="F1" s="9"/>
      <c r="G1" s="9"/>
      <c r="H1" s="9"/>
      <c r="I1" s="9"/>
    </row>
    <row r="2" spans="1:9" ht="15" customHeight="1" x14ac:dyDescent="0.35">
      <c r="A2" s="8" t="s">
        <v>1</v>
      </c>
      <c r="B2" s="8"/>
      <c r="C2" s="8"/>
      <c r="D2" s="8"/>
      <c r="E2" s="8"/>
      <c r="F2" s="8"/>
      <c r="G2" s="8"/>
      <c r="H2" s="8"/>
      <c r="I2" s="8"/>
    </row>
    <row r="3" spans="1:9" ht="15" customHeight="1" x14ac:dyDescent="0.35">
      <c r="A3" s="7" t="s">
        <v>2</v>
      </c>
      <c r="B3" s="7"/>
      <c r="C3" s="7"/>
      <c r="D3" s="7"/>
      <c r="E3" s="7"/>
      <c r="F3" s="7"/>
      <c r="G3" s="7"/>
      <c r="H3" s="7"/>
      <c r="I3" s="7"/>
    </row>
    <row r="4" spans="1:9" ht="19.5" customHeight="1" x14ac:dyDescent="0.35">
      <c r="A4" s="6" t="s">
        <v>173</v>
      </c>
      <c r="B4" s="6"/>
      <c r="C4" s="6"/>
      <c r="D4" s="6"/>
      <c r="E4" s="6"/>
      <c r="F4" s="6"/>
      <c r="G4" s="6"/>
      <c r="H4" s="6"/>
      <c r="I4" s="6"/>
    </row>
    <row r="5" spans="1:9" x14ac:dyDescent="0.35">
      <c r="I5" s="10" t="s">
        <v>4</v>
      </c>
    </row>
    <row r="6" spans="1:9" ht="30" customHeight="1" x14ac:dyDescent="0.35">
      <c r="A6" s="11" t="s">
        <v>174</v>
      </c>
      <c r="B6" s="11" t="s">
        <v>175</v>
      </c>
      <c r="C6" s="11" t="s">
        <v>176</v>
      </c>
      <c r="D6" s="11" t="s">
        <v>177</v>
      </c>
      <c r="E6" s="11" t="s">
        <v>178</v>
      </c>
      <c r="F6" s="11" t="s">
        <v>179</v>
      </c>
      <c r="G6" s="11" t="s">
        <v>180</v>
      </c>
      <c r="H6" s="11" t="s">
        <v>181</v>
      </c>
      <c r="I6" s="11" t="s">
        <v>182</v>
      </c>
    </row>
    <row r="7" spans="1:9" x14ac:dyDescent="0.35">
      <c r="A7" s="16" t="s">
        <v>183</v>
      </c>
      <c r="B7" s="23">
        <v>1111411.8600000001</v>
      </c>
      <c r="C7" s="23">
        <v>77043.839999999997</v>
      </c>
      <c r="D7" s="23">
        <v>0</v>
      </c>
      <c r="E7" s="23">
        <v>0</v>
      </c>
      <c r="F7" s="23">
        <f>B7+C7+D7-E7</f>
        <v>1188455.7000000002</v>
      </c>
      <c r="G7" s="32">
        <v>0.15</v>
      </c>
      <c r="H7" s="23">
        <f>ROUND((B7+C7-E7)*G7+D7*G7/2,0)</f>
        <v>178268</v>
      </c>
      <c r="I7" s="23">
        <f>F7-H7</f>
        <v>1010187.7000000002</v>
      </c>
    </row>
    <row r="8" spans="1:9" x14ac:dyDescent="0.35">
      <c r="A8" s="16" t="s">
        <v>184</v>
      </c>
      <c r="B8" s="23">
        <v>42873.65</v>
      </c>
      <c r="C8" s="23">
        <v>57990</v>
      </c>
      <c r="D8" s="23">
        <v>0</v>
      </c>
      <c r="E8" s="23">
        <v>0</v>
      </c>
      <c r="F8" s="23">
        <f>B8+C8+D8-E8</f>
        <v>100863.65</v>
      </c>
      <c r="G8" s="32">
        <v>0.4</v>
      </c>
      <c r="H8" s="23">
        <f>ROUND((B8+C8-E8)*G8+D8*G8/2,0)</f>
        <v>40345</v>
      </c>
      <c r="I8" s="23">
        <f>F8-H8</f>
        <v>60518.649999999994</v>
      </c>
    </row>
    <row r="9" spans="1:9" x14ac:dyDescent="0.35">
      <c r="A9" s="16" t="s">
        <v>185</v>
      </c>
      <c r="B9" s="23">
        <v>32471</v>
      </c>
      <c r="C9" s="23">
        <v>0</v>
      </c>
      <c r="D9" s="23">
        <v>0</v>
      </c>
      <c r="E9" s="23">
        <v>0</v>
      </c>
      <c r="F9" s="23">
        <f>B9+C9+D9-E9</f>
        <v>32471</v>
      </c>
      <c r="G9" s="32">
        <v>0.1</v>
      </c>
      <c r="H9" s="23">
        <f>ROUND((B9+C9-E9)*G9+D9*G9/2,0)</f>
        <v>3247</v>
      </c>
      <c r="I9" s="23">
        <f>F9-H9</f>
        <v>29224</v>
      </c>
    </row>
    <row r="10" spans="1:9" x14ac:dyDescent="0.35">
      <c r="A10" s="31" t="s">
        <v>186</v>
      </c>
      <c r="B10" s="26">
        <f>SUM(B7:B9)</f>
        <v>1186756.51</v>
      </c>
      <c r="C10" s="26">
        <f>SUM(C7:C9)</f>
        <v>135033.84</v>
      </c>
      <c r="D10" s="26">
        <f>SUM(D7:D9)</f>
        <v>0</v>
      </c>
      <c r="E10" s="26">
        <f>SUM(E7:E9)</f>
        <v>0</v>
      </c>
      <c r="F10" s="26">
        <f>SUM(F7:F9)</f>
        <v>1321790.3500000001</v>
      </c>
      <c r="G10" s="33"/>
      <c r="H10" s="26">
        <f>SUM(H7:H9)</f>
        <v>221860</v>
      </c>
      <c r="I10" s="26">
        <f>SUM(I7:I9)</f>
        <v>1099930.3500000001</v>
      </c>
    </row>
    <row r="13" spans="1:9" x14ac:dyDescent="0.35">
      <c r="A13" s="34" t="s">
        <v>187</v>
      </c>
    </row>
    <row r="14" spans="1:9" ht="30" customHeight="1" x14ac:dyDescent="0.35">
      <c r="A14" s="11" t="s">
        <v>188</v>
      </c>
      <c r="B14" s="11" t="s">
        <v>189</v>
      </c>
      <c r="C14" s="11" t="s">
        <v>190</v>
      </c>
      <c r="D14" s="11" t="s">
        <v>191</v>
      </c>
      <c r="E14" s="11" t="s">
        <v>192</v>
      </c>
      <c r="F14" s="11" t="s">
        <v>193</v>
      </c>
      <c r="G14" s="11" t="s">
        <v>194</v>
      </c>
      <c r="H14" s="11" t="s">
        <v>195</v>
      </c>
      <c r="I14" s="11" t="s">
        <v>196</v>
      </c>
    </row>
    <row r="15" spans="1:9" x14ac:dyDescent="0.35">
      <c r="A15" s="16" t="s">
        <v>197</v>
      </c>
      <c r="B15" s="17" t="s">
        <v>198</v>
      </c>
      <c r="C15" s="17" t="s">
        <v>199</v>
      </c>
      <c r="D15" s="17" t="s">
        <v>200</v>
      </c>
      <c r="E15" s="17" t="s">
        <v>201</v>
      </c>
      <c r="F15" s="23">
        <v>15250.85</v>
      </c>
      <c r="G15" s="23">
        <v>2745.15</v>
      </c>
      <c r="H15" s="23">
        <v>15250.85</v>
      </c>
      <c r="I15" s="35" t="s">
        <v>202</v>
      </c>
    </row>
    <row r="16" spans="1:9" ht="25" x14ac:dyDescent="0.35">
      <c r="A16" s="16" t="s">
        <v>203</v>
      </c>
      <c r="B16" s="17" t="s">
        <v>204</v>
      </c>
      <c r="C16" s="17" t="s">
        <v>205</v>
      </c>
      <c r="D16" s="17" t="s">
        <v>206</v>
      </c>
      <c r="E16" s="17" t="s">
        <v>201</v>
      </c>
      <c r="F16" s="23">
        <v>47459.38</v>
      </c>
      <c r="G16" s="23">
        <v>13288.62</v>
      </c>
      <c r="H16" s="23">
        <v>60748</v>
      </c>
      <c r="I16" s="35" t="s">
        <v>207</v>
      </c>
    </row>
    <row r="17" spans="1:9" ht="25" x14ac:dyDescent="0.35">
      <c r="A17" s="16" t="s">
        <v>203</v>
      </c>
      <c r="B17" s="17" t="s">
        <v>208</v>
      </c>
      <c r="C17" s="17" t="s">
        <v>205</v>
      </c>
      <c r="D17" s="17" t="s">
        <v>209</v>
      </c>
      <c r="E17" s="17" t="s">
        <v>201</v>
      </c>
      <c r="F17" s="23">
        <v>885.59</v>
      </c>
      <c r="G17" s="23">
        <v>159.4</v>
      </c>
      <c r="H17" s="23">
        <v>1044.99</v>
      </c>
      <c r="I17" s="35" t="s">
        <v>207</v>
      </c>
    </row>
    <row r="18" spans="1:9" x14ac:dyDescent="0.35">
      <c r="A18" s="16" t="s">
        <v>210</v>
      </c>
      <c r="B18" s="17" t="s">
        <v>211</v>
      </c>
      <c r="C18" s="17" t="s">
        <v>212</v>
      </c>
      <c r="D18" s="17" t="s">
        <v>213</v>
      </c>
      <c r="E18" s="17" t="s">
        <v>214</v>
      </c>
      <c r="F18" s="23">
        <v>49144.07</v>
      </c>
      <c r="G18" s="23">
        <v>8845.93</v>
      </c>
      <c r="H18" s="23">
        <v>57990</v>
      </c>
      <c r="I18" s="35" t="s">
        <v>207</v>
      </c>
    </row>
    <row r="19" spans="1:9" x14ac:dyDescent="0.35">
      <c r="A19" s="31" t="s">
        <v>83</v>
      </c>
      <c r="B19" s="33"/>
      <c r="C19" s="33"/>
      <c r="D19" s="33"/>
      <c r="E19" s="33"/>
      <c r="F19" s="26">
        <f>SUM(F15:F18)</f>
        <v>112739.88999999998</v>
      </c>
      <c r="G19" s="26">
        <f>SUM(G15:G18)</f>
        <v>25039.1</v>
      </c>
      <c r="H19" s="26">
        <f>SUM(H15:H18)</f>
        <v>135033.84000000003</v>
      </c>
      <c r="I19" s="33"/>
    </row>
    <row r="21" spans="1:9" x14ac:dyDescent="0.35">
      <c r="A21" s="36" t="s">
        <v>215</v>
      </c>
    </row>
    <row r="24" spans="1:9" x14ac:dyDescent="0.35">
      <c r="A24" s="21" t="s">
        <v>31</v>
      </c>
      <c r="F24" s="21" t="s">
        <v>32</v>
      </c>
    </row>
    <row r="25" spans="1:9" x14ac:dyDescent="0.35">
      <c r="A25" s="20" t="s">
        <v>33</v>
      </c>
      <c r="F25" s="20" t="s">
        <v>0</v>
      </c>
    </row>
    <row r="26" spans="1:9" x14ac:dyDescent="0.35">
      <c r="A26" s="20" t="s">
        <v>34</v>
      </c>
    </row>
    <row r="27" spans="1:9" x14ac:dyDescent="0.35">
      <c r="A27" s="22" t="s">
        <v>35</v>
      </c>
    </row>
    <row r="31" spans="1:9" x14ac:dyDescent="0.35">
      <c r="F31" s="22" t="s">
        <v>36</v>
      </c>
    </row>
    <row r="32" spans="1:9" x14ac:dyDescent="0.35">
      <c r="F32" s="20" t="s">
        <v>37</v>
      </c>
    </row>
    <row r="33" spans="1:6" x14ac:dyDescent="0.35">
      <c r="A33" s="20" t="s">
        <v>38</v>
      </c>
      <c r="F33" s="22" t="s">
        <v>39</v>
      </c>
    </row>
    <row r="34" spans="1:6" x14ac:dyDescent="0.35">
      <c r="A34" s="22" t="s">
        <v>39</v>
      </c>
    </row>
    <row r="35" spans="1:6" x14ac:dyDescent="0.35">
      <c r="A35" s="22" t="s">
        <v>40</v>
      </c>
      <c r="F35" s="22" t="s">
        <v>36</v>
      </c>
    </row>
    <row r="36" spans="1:6" x14ac:dyDescent="0.35">
      <c r="A36" s="22" t="s">
        <v>41</v>
      </c>
      <c r="F36" s="20" t="s">
        <v>42</v>
      </c>
    </row>
    <row r="37" spans="1:6" x14ac:dyDescent="0.35">
      <c r="A37" s="22" t="s">
        <v>43</v>
      </c>
      <c r="F37" s="22" t="s">
        <v>39</v>
      </c>
    </row>
    <row r="38" spans="1:6" x14ac:dyDescent="0.35">
      <c r="A38" s="22" t="s">
        <v>44</v>
      </c>
    </row>
  </sheetData>
  <mergeCells count="4">
    <mergeCell ref="A1:I1"/>
    <mergeCell ref="A2:I2"/>
    <mergeCell ref="A3:I3"/>
    <mergeCell ref="A4:I4"/>
  </mergeCells>
  <pageMargins left="0.5" right="0.5" top="0.5" bottom="0.5" header="0.511811023622047" footer="0.511811023622047"/>
  <pageSetup paperSize="9" orientation="landscape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759"/>
  <sheetViews>
    <sheetView showGridLines="0" topLeftCell="A737" zoomScaleNormal="100" workbookViewId="0">
      <selection activeCell="B750" sqref="B750"/>
    </sheetView>
  </sheetViews>
  <sheetFormatPr defaultColWidth="8.6328125" defaultRowHeight="14.5" x14ac:dyDescent="0.35"/>
  <cols>
    <col min="1" max="1" width="8" customWidth="1"/>
    <col min="2" max="2" width="55" customWidth="1"/>
    <col min="3" max="4" width="18" customWidth="1"/>
  </cols>
  <sheetData>
    <row r="1" spans="1:4" ht="17.399999999999999" customHeight="1" x14ac:dyDescent="0.35">
      <c r="A1" s="9" t="s">
        <v>0</v>
      </c>
      <c r="B1" s="9"/>
      <c r="C1" s="9"/>
      <c r="D1" s="9"/>
    </row>
    <row r="2" spans="1:4" ht="15" customHeight="1" x14ac:dyDescent="0.35">
      <c r="A2" s="8" t="s">
        <v>1</v>
      </c>
      <c r="B2" s="8"/>
      <c r="C2" s="8"/>
      <c r="D2" s="8"/>
    </row>
    <row r="3" spans="1:4" ht="15" customHeight="1" x14ac:dyDescent="0.35">
      <c r="A3" s="7" t="s">
        <v>2</v>
      </c>
      <c r="B3" s="7"/>
      <c r="C3" s="7"/>
      <c r="D3" s="7"/>
    </row>
    <row r="4" spans="1:4" ht="19.5" customHeight="1" x14ac:dyDescent="0.35">
      <c r="A4" s="6" t="s">
        <v>216</v>
      </c>
      <c r="B4" s="6"/>
      <c r="C4" s="6"/>
      <c r="D4" s="6"/>
    </row>
    <row r="5" spans="1:4" x14ac:dyDescent="0.35">
      <c r="D5" s="10" t="s">
        <v>4</v>
      </c>
    </row>
    <row r="6" spans="1:4" ht="30" customHeight="1" x14ac:dyDescent="0.35">
      <c r="A6" s="11" t="s">
        <v>217</v>
      </c>
      <c r="B6" s="11" t="s">
        <v>218</v>
      </c>
      <c r="C6" s="11" t="s">
        <v>219</v>
      </c>
      <c r="D6" s="11" t="s">
        <v>220</v>
      </c>
    </row>
    <row r="7" spans="1:4" x14ac:dyDescent="0.35">
      <c r="A7" s="37">
        <v>1</v>
      </c>
      <c r="B7" s="35" t="s">
        <v>221</v>
      </c>
      <c r="C7" s="13"/>
      <c r="D7" s="38">
        <v>4548</v>
      </c>
    </row>
    <row r="8" spans="1:4" x14ac:dyDescent="0.35">
      <c r="A8" s="37">
        <v>2</v>
      </c>
      <c r="B8" s="35" t="s">
        <v>222</v>
      </c>
      <c r="C8" s="38">
        <v>1</v>
      </c>
      <c r="D8" s="13"/>
    </row>
    <row r="9" spans="1:4" x14ac:dyDescent="0.35">
      <c r="A9" s="37">
        <v>3</v>
      </c>
      <c r="B9" s="35" t="s">
        <v>223</v>
      </c>
      <c r="C9" s="38">
        <v>520</v>
      </c>
      <c r="D9" s="13"/>
    </row>
    <row r="10" spans="1:4" x14ac:dyDescent="0.35">
      <c r="A10" s="37">
        <v>4</v>
      </c>
      <c r="B10" s="35" t="s">
        <v>224</v>
      </c>
      <c r="C10" s="38">
        <v>12572</v>
      </c>
      <c r="D10" s="13"/>
    </row>
    <row r="11" spans="1:4" x14ac:dyDescent="0.35">
      <c r="A11" s="37">
        <v>5</v>
      </c>
      <c r="B11" s="35" t="s">
        <v>225</v>
      </c>
      <c r="C11" s="38">
        <v>7964</v>
      </c>
      <c r="D11" s="13"/>
    </row>
    <row r="12" spans="1:4" x14ac:dyDescent="0.35">
      <c r="A12" s="37">
        <v>6</v>
      </c>
      <c r="B12" s="35" t="s">
        <v>226</v>
      </c>
      <c r="C12" s="38">
        <v>4572</v>
      </c>
      <c r="D12" s="13"/>
    </row>
    <row r="13" spans="1:4" x14ac:dyDescent="0.35">
      <c r="A13" s="37">
        <v>7</v>
      </c>
      <c r="B13" s="35" t="s">
        <v>227</v>
      </c>
      <c r="C13" s="13"/>
      <c r="D13" s="38">
        <v>305</v>
      </c>
    </row>
    <row r="14" spans="1:4" x14ac:dyDescent="0.35">
      <c r="A14" s="37">
        <v>8</v>
      </c>
      <c r="B14" s="35" t="s">
        <v>228</v>
      </c>
      <c r="C14" s="13"/>
      <c r="D14" s="38">
        <v>4780</v>
      </c>
    </row>
    <row r="15" spans="1:4" x14ac:dyDescent="0.35">
      <c r="A15" s="37">
        <v>9</v>
      </c>
      <c r="B15" s="35" t="s">
        <v>229</v>
      </c>
      <c r="C15" s="38">
        <v>20073</v>
      </c>
      <c r="D15" s="13"/>
    </row>
    <row r="16" spans="1:4" x14ac:dyDescent="0.35">
      <c r="A16" s="37">
        <v>10</v>
      </c>
      <c r="B16" s="35" t="s">
        <v>230</v>
      </c>
      <c r="C16" s="38">
        <v>9067</v>
      </c>
      <c r="D16" s="13"/>
    </row>
    <row r="17" spans="1:4" x14ac:dyDescent="0.35">
      <c r="A17" s="37">
        <v>11</v>
      </c>
      <c r="B17" s="35" t="s">
        <v>231</v>
      </c>
      <c r="C17" s="38">
        <v>16751</v>
      </c>
      <c r="D17" s="13"/>
    </row>
    <row r="18" spans="1:4" x14ac:dyDescent="0.35">
      <c r="A18" s="37">
        <v>12</v>
      </c>
      <c r="B18" s="35" t="s">
        <v>232</v>
      </c>
      <c r="C18" s="38">
        <v>14903</v>
      </c>
      <c r="D18" s="13"/>
    </row>
    <row r="19" spans="1:4" x14ac:dyDescent="0.35">
      <c r="A19" s="37">
        <v>13</v>
      </c>
      <c r="B19" s="35" t="s">
        <v>233</v>
      </c>
      <c r="C19" s="38">
        <v>450</v>
      </c>
      <c r="D19" s="13"/>
    </row>
    <row r="20" spans="1:4" x14ac:dyDescent="0.35">
      <c r="A20" s="37">
        <v>14</v>
      </c>
      <c r="B20" s="35" t="s">
        <v>234</v>
      </c>
      <c r="C20" s="38">
        <v>5615</v>
      </c>
      <c r="D20" s="13"/>
    </row>
    <row r="21" spans="1:4" x14ac:dyDescent="0.35">
      <c r="A21" s="37">
        <v>15</v>
      </c>
      <c r="B21" s="35" t="s">
        <v>235</v>
      </c>
      <c r="C21" s="38">
        <v>3902</v>
      </c>
      <c r="D21" s="13"/>
    </row>
    <row r="22" spans="1:4" x14ac:dyDescent="0.35">
      <c r="A22" s="37">
        <v>16</v>
      </c>
      <c r="B22" s="35" t="s">
        <v>236</v>
      </c>
      <c r="C22" s="38">
        <v>1038</v>
      </c>
      <c r="D22" s="13"/>
    </row>
    <row r="23" spans="1:4" x14ac:dyDescent="0.35">
      <c r="A23" s="37">
        <v>17</v>
      </c>
      <c r="B23" s="35" t="s">
        <v>237</v>
      </c>
      <c r="C23" s="38">
        <v>2</v>
      </c>
      <c r="D23" s="13"/>
    </row>
    <row r="24" spans="1:4" x14ac:dyDescent="0.35">
      <c r="A24" s="37">
        <v>18</v>
      </c>
      <c r="B24" s="35" t="s">
        <v>238</v>
      </c>
      <c r="C24" s="38">
        <v>73</v>
      </c>
      <c r="D24" s="13"/>
    </row>
    <row r="25" spans="1:4" x14ac:dyDescent="0.35">
      <c r="A25" s="37">
        <v>19</v>
      </c>
      <c r="B25" s="35" t="s">
        <v>239</v>
      </c>
      <c r="C25" s="38">
        <v>262</v>
      </c>
      <c r="D25" s="13"/>
    </row>
    <row r="26" spans="1:4" x14ac:dyDescent="0.35">
      <c r="A26" s="37">
        <v>20</v>
      </c>
      <c r="B26" s="35" t="s">
        <v>240</v>
      </c>
      <c r="C26" s="38">
        <v>3272</v>
      </c>
      <c r="D26" s="13"/>
    </row>
    <row r="27" spans="1:4" x14ac:dyDescent="0.35">
      <c r="A27" s="37">
        <v>21</v>
      </c>
      <c r="B27" s="35" t="s">
        <v>241</v>
      </c>
      <c r="C27" s="13"/>
      <c r="D27" s="38">
        <v>996</v>
      </c>
    </row>
    <row r="28" spans="1:4" x14ac:dyDescent="0.35">
      <c r="A28" s="37">
        <v>22</v>
      </c>
      <c r="B28" s="35" t="s">
        <v>242</v>
      </c>
      <c r="C28" s="38">
        <v>6</v>
      </c>
      <c r="D28" s="13"/>
    </row>
    <row r="29" spans="1:4" x14ac:dyDescent="0.35">
      <c r="A29" s="37">
        <v>23</v>
      </c>
      <c r="B29" s="35" t="s">
        <v>243</v>
      </c>
      <c r="C29" s="13"/>
      <c r="D29" s="38">
        <v>415</v>
      </c>
    </row>
    <row r="30" spans="1:4" x14ac:dyDescent="0.35">
      <c r="A30" s="37">
        <v>24</v>
      </c>
      <c r="B30" s="35" t="s">
        <v>244</v>
      </c>
      <c r="C30" s="13"/>
      <c r="D30" s="38">
        <v>413</v>
      </c>
    </row>
    <row r="31" spans="1:4" x14ac:dyDescent="0.35">
      <c r="A31" s="37">
        <v>25</v>
      </c>
      <c r="B31" s="35" t="s">
        <v>245</v>
      </c>
      <c r="C31" s="38">
        <v>847</v>
      </c>
      <c r="D31" s="13"/>
    </row>
    <row r="32" spans="1:4" x14ac:dyDescent="0.35">
      <c r="A32" s="37">
        <v>26</v>
      </c>
      <c r="B32" s="35" t="s">
        <v>246</v>
      </c>
      <c r="C32" s="13"/>
      <c r="D32" s="38">
        <v>229</v>
      </c>
    </row>
    <row r="33" spans="1:4" x14ac:dyDescent="0.35">
      <c r="A33" s="37">
        <v>27</v>
      </c>
      <c r="B33" s="35" t="s">
        <v>247</v>
      </c>
      <c r="C33" s="38">
        <v>38633</v>
      </c>
      <c r="D33" s="13"/>
    </row>
    <row r="34" spans="1:4" x14ac:dyDescent="0.35">
      <c r="A34" s="37">
        <v>28</v>
      </c>
      <c r="B34" s="35" t="s">
        <v>248</v>
      </c>
      <c r="C34" s="38">
        <v>1327</v>
      </c>
      <c r="D34" s="13"/>
    </row>
    <row r="35" spans="1:4" x14ac:dyDescent="0.35">
      <c r="A35" s="37">
        <v>29</v>
      </c>
      <c r="B35" s="35" t="s">
        <v>249</v>
      </c>
      <c r="C35" s="13"/>
      <c r="D35" s="38">
        <v>10211</v>
      </c>
    </row>
    <row r="36" spans="1:4" x14ac:dyDescent="0.35">
      <c r="A36" s="37">
        <v>30</v>
      </c>
      <c r="B36" s="35" t="s">
        <v>250</v>
      </c>
      <c r="C36" s="38">
        <v>2408</v>
      </c>
      <c r="D36" s="13"/>
    </row>
    <row r="37" spans="1:4" x14ac:dyDescent="0.35">
      <c r="A37" s="37">
        <v>31</v>
      </c>
      <c r="B37" s="35" t="s">
        <v>251</v>
      </c>
      <c r="C37" s="13"/>
      <c r="D37" s="38">
        <v>2</v>
      </c>
    </row>
    <row r="38" spans="1:4" x14ac:dyDescent="0.35">
      <c r="A38" s="37">
        <v>32</v>
      </c>
      <c r="B38" s="35" t="s">
        <v>252</v>
      </c>
      <c r="C38" s="38">
        <v>149</v>
      </c>
      <c r="D38" s="13"/>
    </row>
    <row r="39" spans="1:4" x14ac:dyDescent="0.35">
      <c r="A39" s="37">
        <v>33</v>
      </c>
      <c r="B39" s="35" t="s">
        <v>253</v>
      </c>
      <c r="C39" s="38">
        <v>1</v>
      </c>
      <c r="D39" s="13"/>
    </row>
    <row r="40" spans="1:4" x14ac:dyDescent="0.35">
      <c r="A40" s="37">
        <v>34</v>
      </c>
      <c r="B40" s="35" t="s">
        <v>254</v>
      </c>
      <c r="C40" s="38">
        <v>1406</v>
      </c>
      <c r="D40" s="13"/>
    </row>
    <row r="41" spans="1:4" x14ac:dyDescent="0.35">
      <c r="A41" s="37">
        <v>35</v>
      </c>
      <c r="B41" s="35" t="s">
        <v>255</v>
      </c>
      <c r="C41" s="38">
        <v>4500</v>
      </c>
      <c r="D41" s="13"/>
    </row>
    <row r="42" spans="1:4" x14ac:dyDescent="0.35">
      <c r="A42" s="37">
        <v>36</v>
      </c>
      <c r="B42" s="35" t="s">
        <v>256</v>
      </c>
      <c r="C42" s="38">
        <v>1729</v>
      </c>
      <c r="D42" s="13"/>
    </row>
    <row r="43" spans="1:4" x14ac:dyDescent="0.35">
      <c r="A43" s="37">
        <v>37</v>
      </c>
      <c r="B43" s="35" t="s">
        <v>257</v>
      </c>
      <c r="C43" s="13"/>
      <c r="D43" s="38">
        <v>3</v>
      </c>
    </row>
    <row r="44" spans="1:4" x14ac:dyDescent="0.35">
      <c r="A44" s="37">
        <v>38</v>
      </c>
      <c r="B44" s="35" t="s">
        <v>258</v>
      </c>
      <c r="C44" s="38">
        <v>7168</v>
      </c>
      <c r="D44" s="13"/>
    </row>
    <row r="45" spans="1:4" x14ac:dyDescent="0.35">
      <c r="A45" s="37">
        <v>39</v>
      </c>
      <c r="B45" s="35" t="s">
        <v>259</v>
      </c>
      <c r="C45" s="13"/>
      <c r="D45" s="38">
        <v>5</v>
      </c>
    </row>
    <row r="46" spans="1:4" x14ac:dyDescent="0.35">
      <c r="A46" s="37">
        <v>40</v>
      </c>
      <c r="B46" s="35" t="s">
        <v>260</v>
      </c>
      <c r="C46" s="38">
        <v>455</v>
      </c>
      <c r="D46" s="13"/>
    </row>
    <row r="47" spans="1:4" x14ac:dyDescent="0.35">
      <c r="A47" s="37">
        <v>41</v>
      </c>
      <c r="B47" s="35" t="s">
        <v>261</v>
      </c>
      <c r="C47" s="38">
        <v>877.97</v>
      </c>
      <c r="D47" s="13"/>
    </row>
    <row r="48" spans="1:4" x14ac:dyDescent="0.35">
      <c r="A48" s="37">
        <v>42</v>
      </c>
      <c r="B48" s="35" t="s">
        <v>262</v>
      </c>
      <c r="C48" s="38">
        <v>4000</v>
      </c>
      <c r="D48" s="13"/>
    </row>
    <row r="49" spans="1:4" x14ac:dyDescent="0.35">
      <c r="A49" s="37">
        <v>43</v>
      </c>
      <c r="B49" s="35" t="s">
        <v>263</v>
      </c>
      <c r="C49" s="38">
        <v>433</v>
      </c>
      <c r="D49" s="13"/>
    </row>
    <row r="50" spans="1:4" x14ac:dyDescent="0.35">
      <c r="A50" s="37">
        <v>44</v>
      </c>
      <c r="B50" s="35" t="s">
        <v>264</v>
      </c>
      <c r="C50" s="38">
        <v>7584</v>
      </c>
      <c r="D50" s="13"/>
    </row>
    <row r="51" spans="1:4" x14ac:dyDescent="0.35">
      <c r="A51" s="37">
        <v>45</v>
      </c>
      <c r="B51" s="35" t="s">
        <v>265</v>
      </c>
      <c r="C51" s="13"/>
      <c r="D51" s="38">
        <v>810</v>
      </c>
    </row>
    <row r="52" spans="1:4" x14ac:dyDescent="0.35">
      <c r="A52" s="37">
        <v>46</v>
      </c>
      <c r="B52" s="35" t="s">
        <v>266</v>
      </c>
      <c r="C52" s="38">
        <v>7165</v>
      </c>
      <c r="D52" s="13"/>
    </row>
    <row r="53" spans="1:4" x14ac:dyDescent="0.35">
      <c r="A53" s="37">
        <v>47</v>
      </c>
      <c r="B53" s="35" t="s">
        <v>267</v>
      </c>
      <c r="C53" s="38">
        <v>2924</v>
      </c>
      <c r="D53" s="13"/>
    </row>
    <row r="54" spans="1:4" x14ac:dyDescent="0.35">
      <c r="A54" s="37">
        <v>48</v>
      </c>
      <c r="B54" s="35" t="s">
        <v>268</v>
      </c>
      <c r="C54" s="38">
        <v>12367</v>
      </c>
      <c r="D54" s="13"/>
    </row>
    <row r="55" spans="1:4" x14ac:dyDescent="0.35">
      <c r="A55" s="37">
        <v>49</v>
      </c>
      <c r="B55" s="35" t="s">
        <v>269</v>
      </c>
      <c r="C55" s="38">
        <v>21582</v>
      </c>
      <c r="D55" s="13"/>
    </row>
    <row r="56" spans="1:4" x14ac:dyDescent="0.35">
      <c r="A56" s="37">
        <v>50</v>
      </c>
      <c r="B56" s="35" t="s">
        <v>270</v>
      </c>
      <c r="C56" s="13"/>
      <c r="D56" s="38">
        <v>95</v>
      </c>
    </row>
    <row r="57" spans="1:4" x14ac:dyDescent="0.35">
      <c r="A57" s="37">
        <v>51</v>
      </c>
      <c r="B57" s="35" t="s">
        <v>271</v>
      </c>
      <c r="C57" s="38">
        <v>1126</v>
      </c>
      <c r="D57" s="13"/>
    </row>
    <row r="58" spans="1:4" x14ac:dyDescent="0.35">
      <c r="A58" s="37">
        <v>52</v>
      </c>
      <c r="B58" s="35" t="s">
        <v>272</v>
      </c>
      <c r="C58" s="38">
        <v>30061</v>
      </c>
      <c r="D58" s="13"/>
    </row>
    <row r="59" spans="1:4" x14ac:dyDescent="0.35">
      <c r="A59" s="37">
        <v>53</v>
      </c>
      <c r="B59" s="35" t="s">
        <v>273</v>
      </c>
      <c r="C59" s="38">
        <v>10770</v>
      </c>
      <c r="D59" s="13"/>
    </row>
    <row r="60" spans="1:4" x14ac:dyDescent="0.35">
      <c r="A60" s="37">
        <v>54</v>
      </c>
      <c r="B60" s="35" t="s">
        <v>274</v>
      </c>
      <c r="C60" s="38">
        <v>1</v>
      </c>
      <c r="D60" s="13"/>
    </row>
    <row r="61" spans="1:4" x14ac:dyDescent="0.35">
      <c r="A61" s="37">
        <v>55</v>
      </c>
      <c r="B61" s="35" t="s">
        <v>275</v>
      </c>
      <c r="C61" s="13"/>
      <c r="D61" s="38">
        <v>48</v>
      </c>
    </row>
    <row r="62" spans="1:4" x14ac:dyDescent="0.35">
      <c r="A62" s="37">
        <v>56</v>
      </c>
      <c r="B62" s="35" t="s">
        <v>276</v>
      </c>
      <c r="C62" s="38">
        <v>13744</v>
      </c>
      <c r="D62" s="13"/>
    </row>
    <row r="63" spans="1:4" x14ac:dyDescent="0.35">
      <c r="A63" s="37">
        <v>57</v>
      </c>
      <c r="B63" s="35" t="s">
        <v>277</v>
      </c>
      <c r="C63" s="38">
        <v>6771</v>
      </c>
      <c r="D63" s="13"/>
    </row>
    <row r="64" spans="1:4" x14ac:dyDescent="0.35">
      <c r="A64" s="37">
        <v>58</v>
      </c>
      <c r="B64" s="35" t="s">
        <v>278</v>
      </c>
      <c r="C64" s="13"/>
      <c r="D64" s="38">
        <v>250</v>
      </c>
    </row>
    <row r="65" spans="1:4" x14ac:dyDescent="0.35">
      <c r="A65" s="37">
        <v>59</v>
      </c>
      <c r="B65" s="35" t="s">
        <v>279</v>
      </c>
      <c r="C65" s="38">
        <v>127</v>
      </c>
      <c r="D65" s="13"/>
    </row>
    <row r="66" spans="1:4" x14ac:dyDescent="0.35">
      <c r="A66" s="37">
        <v>60</v>
      </c>
      <c r="B66" s="35" t="s">
        <v>280</v>
      </c>
      <c r="C66" s="38">
        <v>490</v>
      </c>
      <c r="D66" s="13"/>
    </row>
    <row r="67" spans="1:4" x14ac:dyDescent="0.35">
      <c r="A67" s="37">
        <v>61</v>
      </c>
      <c r="B67" s="35" t="s">
        <v>281</v>
      </c>
      <c r="C67" s="38">
        <v>2040</v>
      </c>
      <c r="D67" s="13"/>
    </row>
    <row r="68" spans="1:4" x14ac:dyDescent="0.35">
      <c r="A68" s="37">
        <v>62</v>
      </c>
      <c r="B68" s="35" t="s">
        <v>282</v>
      </c>
      <c r="C68" s="13"/>
      <c r="D68" s="38">
        <v>1199</v>
      </c>
    </row>
    <row r="69" spans="1:4" x14ac:dyDescent="0.35">
      <c r="A69" s="37">
        <v>63</v>
      </c>
      <c r="B69" s="35" t="s">
        <v>283</v>
      </c>
      <c r="C69" s="38">
        <v>2524</v>
      </c>
      <c r="D69" s="13"/>
    </row>
    <row r="70" spans="1:4" x14ac:dyDescent="0.35">
      <c r="A70" s="37">
        <v>64</v>
      </c>
      <c r="B70" s="35" t="s">
        <v>284</v>
      </c>
      <c r="C70" s="13"/>
      <c r="D70" s="38">
        <v>100</v>
      </c>
    </row>
    <row r="71" spans="1:4" x14ac:dyDescent="0.35">
      <c r="A71" s="37">
        <v>65</v>
      </c>
      <c r="B71" s="35" t="s">
        <v>285</v>
      </c>
      <c r="C71" s="38">
        <v>308</v>
      </c>
      <c r="D71" s="13"/>
    </row>
    <row r="72" spans="1:4" x14ac:dyDescent="0.35">
      <c r="A72" s="37">
        <v>66</v>
      </c>
      <c r="B72" s="35" t="s">
        <v>286</v>
      </c>
      <c r="C72" s="38">
        <v>1274</v>
      </c>
      <c r="D72" s="13"/>
    </row>
    <row r="73" spans="1:4" x14ac:dyDescent="0.35">
      <c r="A73" s="37">
        <v>67</v>
      </c>
      <c r="B73" s="35" t="s">
        <v>287</v>
      </c>
      <c r="C73" s="38">
        <v>219</v>
      </c>
      <c r="D73" s="13"/>
    </row>
    <row r="74" spans="1:4" x14ac:dyDescent="0.35">
      <c r="A74" s="37">
        <v>68</v>
      </c>
      <c r="B74" s="35" t="s">
        <v>288</v>
      </c>
      <c r="C74" s="38">
        <v>1962</v>
      </c>
      <c r="D74" s="13"/>
    </row>
    <row r="75" spans="1:4" x14ac:dyDescent="0.35">
      <c r="A75" s="37">
        <v>69</v>
      </c>
      <c r="B75" s="35" t="s">
        <v>289</v>
      </c>
      <c r="C75" s="38">
        <v>17683</v>
      </c>
      <c r="D75" s="13"/>
    </row>
    <row r="76" spans="1:4" x14ac:dyDescent="0.35">
      <c r="A76" s="37">
        <v>70</v>
      </c>
      <c r="B76" s="35" t="s">
        <v>290</v>
      </c>
      <c r="C76" s="38">
        <v>272</v>
      </c>
      <c r="D76" s="13"/>
    </row>
    <row r="77" spans="1:4" x14ac:dyDescent="0.35">
      <c r="A77" s="37">
        <v>71</v>
      </c>
      <c r="B77" s="35" t="s">
        <v>291</v>
      </c>
      <c r="C77" s="38">
        <v>9232</v>
      </c>
      <c r="D77" s="13"/>
    </row>
    <row r="78" spans="1:4" x14ac:dyDescent="0.35">
      <c r="A78" s="37">
        <v>72</v>
      </c>
      <c r="B78" s="35" t="s">
        <v>292</v>
      </c>
      <c r="C78" s="38">
        <v>3140</v>
      </c>
      <c r="D78" s="13"/>
    </row>
    <row r="79" spans="1:4" x14ac:dyDescent="0.35">
      <c r="A79" s="37">
        <v>73</v>
      </c>
      <c r="B79" s="35" t="s">
        <v>293</v>
      </c>
      <c r="C79" s="38">
        <v>1838</v>
      </c>
      <c r="D79" s="13"/>
    </row>
    <row r="80" spans="1:4" x14ac:dyDescent="0.35">
      <c r="A80" s="37">
        <v>74</v>
      </c>
      <c r="B80" s="35" t="s">
        <v>294</v>
      </c>
      <c r="C80" s="38">
        <v>572</v>
      </c>
      <c r="D80" s="13"/>
    </row>
    <row r="81" spans="1:4" x14ac:dyDescent="0.35">
      <c r="A81" s="37">
        <v>75</v>
      </c>
      <c r="B81" s="35" t="s">
        <v>295</v>
      </c>
      <c r="C81" s="13"/>
      <c r="D81" s="38">
        <v>11140</v>
      </c>
    </row>
    <row r="82" spans="1:4" x14ac:dyDescent="0.35">
      <c r="A82" s="37">
        <v>76</v>
      </c>
      <c r="B82" s="35" t="s">
        <v>296</v>
      </c>
      <c r="C82" s="38">
        <v>3184</v>
      </c>
      <c r="D82" s="13"/>
    </row>
    <row r="83" spans="1:4" x14ac:dyDescent="0.35">
      <c r="A83" s="37">
        <v>77</v>
      </c>
      <c r="B83" s="35" t="s">
        <v>297</v>
      </c>
      <c r="C83" s="38">
        <v>752</v>
      </c>
      <c r="D83" s="13"/>
    </row>
    <row r="84" spans="1:4" x14ac:dyDescent="0.35">
      <c r="A84" s="37">
        <v>78</v>
      </c>
      <c r="B84" s="35" t="s">
        <v>298</v>
      </c>
      <c r="C84" s="38">
        <v>1262</v>
      </c>
      <c r="D84" s="13"/>
    </row>
    <row r="85" spans="1:4" x14ac:dyDescent="0.35">
      <c r="A85" s="37">
        <v>79</v>
      </c>
      <c r="B85" s="35" t="s">
        <v>299</v>
      </c>
      <c r="C85" s="38">
        <v>744</v>
      </c>
      <c r="D85" s="13"/>
    </row>
    <row r="86" spans="1:4" x14ac:dyDescent="0.35">
      <c r="A86" s="37">
        <v>80</v>
      </c>
      <c r="B86" s="35" t="s">
        <v>300</v>
      </c>
      <c r="C86" s="38">
        <v>793</v>
      </c>
      <c r="D86" s="13"/>
    </row>
    <row r="87" spans="1:4" x14ac:dyDescent="0.35">
      <c r="A87" s="37">
        <v>81</v>
      </c>
      <c r="B87" s="35" t="s">
        <v>301</v>
      </c>
      <c r="C87" s="38">
        <v>28453</v>
      </c>
      <c r="D87" s="13"/>
    </row>
    <row r="88" spans="1:4" x14ac:dyDescent="0.35">
      <c r="A88" s="37">
        <v>82</v>
      </c>
      <c r="B88" s="35" t="s">
        <v>302</v>
      </c>
      <c r="C88" s="13"/>
      <c r="D88" s="38">
        <v>928</v>
      </c>
    </row>
    <row r="89" spans="1:4" x14ac:dyDescent="0.35">
      <c r="A89" s="37">
        <v>83</v>
      </c>
      <c r="B89" s="35" t="s">
        <v>303</v>
      </c>
      <c r="C89" s="13"/>
      <c r="D89" s="38">
        <v>852</v>
      </c>
    </row>
    <row r="90" spans="1:4" x14ac:dyDescent="0.35">
      <c r="A90" s="37">
        <v>84</v>
      </c>
      <c r="B90" s="35" t="s">
        <v>304</v>
      </c>
      <c r="C90" s="13"/>
      <c r="D90" s="38">
        <v>1</v>
      </c>
    </row>
    <row r="91" spans="1:4" x14ac:dyDescent="0.35">
      <c r="A91" s="37">
        <v>85</v>
      </c>
      <c r="B91" s="35" t="s">
        <v>305</v>
      </c>
      <c r="C91" s="38">
        <v>200</v>
      </c>
      <c r="D91" s="13"/>
    </row>
    <row r="92" spans="1:4" x14ac:dyDescent="0.35">
      <c r="A92" s="37">
        <v>86</v>
      </c>
      <c r="B92" s="35" t="s">
        <v>306</v>
      </c>
      <c r="C92" s="38">
        <v>613</v>
      </c>
      <c r="D92" s="13"/>
    </row>
    <row r="93" spans="1:4" x14ac:dyDescent="0.35">
      <c r="A93" s="37">
        <v>87</v>
      </c>
      <c r="B93" s="35" t="s">
        <v>307</v>
      </c>
      <c r="C93" s="38">
        <v>3460</v>
      </c>
      <c r="D93" s="13"/>
    </row>
    <row r="94" spans="1:4" x14ac:dyDescent="0.35">
      <c r="A94" s="37">
        <v>88</v>
      </c>
      <c r="B94" s="35" t="s">
        <v>308</v>
      </c>
      <c r="C94" s="13"/>
      <c r="D94" s="38">
        <v>338</v>
      </c>
    </row>
    <row r="95" spans="1:4" x14ac:dyDescent="0.35">
      <c r="A95" s="37">
        <v>89</v>
      </c>
      <c r="B95" s="35" t="s">
        <v>309</v>
      </c>
      <c r="C95" s="13"/>
      <c r="D95" s="38">
        <v>509</v>
      </c>
    </row>
    <row r="96" spans="1:4" x14ac:dyDescent="0.35">
      <c r="A96" s="37">
        <v>90</v>
      </c>
      <c r="B96" s="35" t="s">
        <v>310</v>
      </c>
      <c r="C96" s="38">
        <v>1</v>
      </c>
      <c r="D96" s="13"/>
    </row>
    <row r="97" spans="1:4" x14ac:dyDescent="0.35">
      <c r="A97" s="37">
        <v>91</v>
      </c>
      <c r="B97" s="35" t="s">
        <v>311</v>
      </c>
      <c r="C97" s="38">
        <v>3733</v>
      </c>
      <c r="D97" s="13"/>
    </row>
    <row r="98" spans="1:4" x14ac:dyDescent="0.35">
      <c r="A98" s="37">
        <v>92</v>
      </c>
      <c r="B98" s="35" t="s">
        <v>312</v>
      </c>
      <c r="C98" s="38">
        <v>2056</v>
      </c>
      <c r="D98" s="13"/>
    </row>
    <row r="99" spans="1:4" x14ac:dyDescent="0.35">
      <c r="A99" s="37">
        <v>93</v>
      </c>
      <c r="B99" s="35" t="s">
        <v>313</v>
      </c>
      <c r="C99" s="38">
        <v>15623</v>
      </c>
      <c r="D99" s="13"/>
    </row>
    <row r="100" spans="1:4" x14ac:dyDescent="0.35">
      <c r="A100" s="37">
        <v>94</v>
      </c>
      <c r="B100" s="35" t="s">
        <v>314</v>
      </c>
      <c r="C100" s="38">
        <v>11</v>
      </c>
      <c r="D100" s="13"/>
    </row>
    <row r="101" spans="1:4" x14ac:dyDescent="0.35">
      <c r="A101" s="37">
        <v>95</v>
      </c>
      <c r="B101" s="35" t="s">
        <v>315</v>
      </c>
      <c r="C101" s="38">
        <v>39</v>
      </c>
      <c r="D101" s="13"/>
    </row>
    <row r="102" spans="1:4" x14ac:dyDescent="0.35">
      <c r="A102" s="37">
        <v>96</v>
      </c>
      <c r="B102" s="35" t="s">
        <v>316</v>
      </c>
      <c r="C102" s="38">
        <v>2206</v>
      </c>
      <c r="D102" s="13"/>
    </row>
    <row r="103" spans="1:4" x14ac:dyDescent="0.35">
      <c r="A103" s="37">
        <v>97</v>
      </c>
      <c r="B103" s="35" t="s">
        <v>317</v>
      </c>
      <c r="C103" s="38">
        <v>4265</v>
      </c>
      <c r="D103" s="13"/>
    </row>
    <row r="104" spans="1:4" x14ac:dyDescent="0.35">
      <c r="A104" s="37">
        <v>98</v>
      </c>
      <c r="B104" s="35" t="s">
        <v>318</v>
      </c>
      <c r="C104" s="38">
        <v>100</v>
      </c>
      <c r="D104" s="13"/>
    </row>
    <row r="105" spans="1:4" x14ac:dyDescent="0.35">
      <c r="A105" s="37">
        <v>99</v>
      </c>
      <c r="B105" s="35" t="s">
        <v>319</v>
      </c>
      <c r="C105" s="38">
        <v>2276</v>
      </c>
      <c r="D105" s="13"/>
    </row>
    <row r="106" spans="1:4" x14ac:dyDescent="0.35">
      <c r="A106" s="37">
        <v>100</v>
      </c>
      <c r="B106" s="35" t="s">
        <v>320</v>
      </c>
      <c r="C106" s="38">
        <v>66</v>
      </c>
      <c r="D106" s="13"/>
    </row>
    <row r="107" spans="1:4" x14ac:dyDescent="0.35">
      <c r="A107" s="37">
        <v>101</v>
      </c>
      <c r="B107" s="35" t="s">
        <v>321</v>
      </c>
      <c r="C107" s="38">
        <v>2087</v>
      </c>
      <c r="D107" s="13"/>
    </row>
    <row r="108" spans="1:4" x14ac:dyDescent="0.35">
      <c r="A108" s="37">
        <v>102</v>
      </c>
      <c r="B108" s="35" t="s">
        <v>322</v>
      </c>
      <c r="C108" s="13"/>
      <c r="D108" s="38">
        <v>75</v>
      </c>
    </row>
    <row r="109" spans="1:4" x14ac:dyDescent="0.35">
      <c r="A109" s="37">
        <v>103</v>
      </c>
      <c r="B109" s="35" t="s">
        <v>323</v>
      </c>
      <c r="C109" s="13"/>
      <c r="D109" s="38">
        <v>4344</v>
      </c>
    </row>
    <row r="110" spans="1:4" x14ac:dyDescent="0.35">
      <c r="A110" s="37">
        <v>104</v>
      </c>
      <c r="B110" s="35" t="s">
        <v>324</v>
      </c>
      <c r="C110" s="13"/>
      <c r="D110" s="38">
        <v>194</v>
      </c>
    </row>
    <row r="111" spans="1:4" x14ac:dyDescent="0.35">
      <c r="A111" s="37">
        <v>105</v>
      </c>
      <c r="B111" s="35" t="s">
        <v>325</v>
      </c>
      <c r="C111" s="13"/>
      <c r="D111" s="38">
        <v>166</v>
      </c>
    </row>
    <row r="112" spans="1:4" x14ac:dyDescent="0.35">
      <c r="A112" s="37">
        <v>106</v>
      </c>
      <c r="B112" s="35" t="s">
        <v>326</v>
      </c>
      <c r="C112" s="13"/>
      <c r="D112" s="38">
        <v>214568.57</v>
      </c>
    </row>
    <row r="113" spans="1:4" x14ac:dyDescent="0.35">
      <c r="A113" s="37">
        <v>107</v>
      </c>
      <c r="B113" s="35" t="s">
        <v>327</v>
      </c>
      <c r="C113" s="38">
        <v>8948</v>
      </c>
      <c r="D113" s="13"/>
    </row>
    <row r="114" spans="1:4" x14ac:dyDescent="0.35">
      <c r="A114" s="37">
        <v>108</v>
      </c>
      <c r="B114" s="35" t="s">
        <v>328</v>
      </c>
      <c r="C114" s="38">
        <v>9919</v>
      </c>
      <c r="D114" s="13"/>
    </row>
    <row r="115" spans="1:4" x14ac:dyDescent="0.35">
      <c r="A115" s="37">
        <v>109</v>
      </c>
      <c r="B115" s="35" t="s">
        <v>329</v>
      </c>
      <c r="C115" s="38">
        <v>930</v>
      </c>
      <c r="D115" s="13"/>
    </row>
    <row r="116" spans="1:4" x14ac:dyDescent="0.35">
      <c r="A116" s="37">
        <v>110</v>
      </c>
      <c r="B116" s="35" t="s">
        <v>330</v>
      </c>
      <c r="C116" s="38">
        <v>3926</v>
      </c>
      <c r="D116" s="13"/>
    </row>
    <row r="117" spans="1:4" x14ac:dyDescent="0.35">
      <c r="A117" s="37">
        <v>111</v>
      </c>
      <c r="B117" s="35" t="s">
        <v>331</v>
      </c>
      <c r="C117" s="38">
        <v>506</v>
      </c>
      <c r="D117" s="13"/>
    </row>
    <row r="118" spans="1:4" x14ac:dyDescent="0.35">
      <c r="A118" s="37">
        <v>112</v>
      </c>
      <c r="B118" s="35" t="s">
        <v>332</v>
      </c>
      <c r="C118" s="13"/>
      <c r="D118" s="38">
        <v>1586</v>
      </c>
    </row>
    <row r="119" spans="1:4" x14ac:dyDescent="0.35">
      <c r="A119" s="37">
        <v>113</v>
      </c>
      <c r="B119" s="35" t="s">
        <v>333</v>
      </c>
      <c r="C119" s="38">
        <v>7177</v>
      </c>
      <c r="D119" s="13"/>
    </row>
    <row r="120" spans="1:4" x14ac:dyDescent="0.35">
      <c r="A120" s="37">
        <v>114</v>
      </c>
      <c r="B120" s="35" t="s">
        <v>334</v>
      </c>
      <c r="C120" s="38">
        <v>1702</v>
      </c>
      <c r="D120" s="13"/>
    </row>
    <row r="121" spans="1:4" x14ac:dyDescent="0.35">
      <c r="A121" s="37">
        <v>115</v>
      </c>
      <c r="B121" s="35" t="s">
        <v>335</v>
      </c>
      <c r="C121" s="13"/>
      <c r="D121" s="38">
        <v>26</v>
      </c>
    </row>
    <row r="122" spans="1:4" x14ac:dyDescent="0.35">
      <c r="A122" s="37">
        <v>116</v>
      </c>
      <c r="B122" s="35" t="s">
        <v>336</v>
      </c>
      <c r="C122" s="38">
        <v>1161</v>
      </c>
      <c r="D122" s="13"/>
    </row>
    <row r="123" spans="1:4" x14ac:dyDescent="0.35">
      <c r="A123" s="37">
        <v>117</v>
      </c>
      <c r="B123" s="35" t="s">
        <v>337</v>
      </c>
      <c r="C123" s="38">
        <v>5019</v>
      </c>
      <c r="D123" s="13"/>
    </row>
    <row r="124" spans="1:4" x14ac:dyDescent="0.35">
      <c r="A124" s="37">
        <v>118</v>
      </c>
      <c r="B124" s="35" t="s">
        <v>338</v>
      </c>
      <c r="C124" s="13"/>
      <c r="D124" s="38">
        <v>668</v>
      </c>
    </row>
    <row r="125" spans="1:4" x14ac:dyDescent="0.35">
      <c r="A125" s="37">
        <v>119</v>
      </c>
      <c r="B125" s="35" t="s">
        <v>339</v>
      </c>
      <c r="C125" s="38">
        <v>37867</v>
      </c>
      <c r="D125" s="13"/>
    </row>
    <row r="126" spans="1:4" x14ac:dyDescent="0.35">
      <c r="A126" s="37">
        <v>120</v>
      </c>
      <c r="B126" s="35" t="s">
        <v>340</v>
      </c>
      <c r="C126" s="13"/>
      <c r="D126" s="38">
        <v>159</v>
      </c>
    </row>
    <row r="127" spans="1:4" x14ac:dyDescent="0.35">
      <c r="A127" s="37">
        <v>121</v>
      </c>
      <c r="B127" s="35" t="s">
        <v>341</v>
      </c>
      <c r="C127" s="38">
        <v>3126</v>
      </c>
      <c r="D127" s="13"/>
    </row>
    <row r="128" spans="1:4" x14ac:dyDescent="0.35">
      <c r="A128" s="37">
        <v>122</v>
      </c>
      <c r="B128" s="35" t="s">
        <v>342</v>
      </c>
      <c r="C128" s="13"/>
      <c r="D128" s="38">
        <v>23652</v>
      </c>
    </row>
    <row r="129" spans="1:4" x14ac:dyDescent="0.35">
      <c r="A129" s="37">
        <v>123</v>
      </c>
      <c r="B129" s="35" t="s">
        <v>343</v>
      </c>
      <c r="C129" s="13"/>
      <c r="D129" s="38">
        <v>24520</v>
      </c>
    </row>
    <row r="130" spans="1:4" x14ac:dyDescent="0.35">
      <c r="A130" s="37">
        <v>124</v>
      </c>
      <c r="B130" s="35" t="s">
        <v>344</v>
      </c>
      <c r="C130" s="38">
        <v>14429</v>
      </c>
      <c r="D130" s="13"/>
    </row>
    <row r="131" spans="1:4" x14ac:dyDescent="0.35">
      <c r="A131" s="37">
        <v>125</v>
      </c>
      <c r="B131" s="35" t="s">
        <v>345</v>
      </c>
      <c r="C131" s="38">
        <v>34678</v>
      </c>
      <c r="D131" s="13"/>
    </row>
    <row r="132" spans="1:4" x14ac:dyDescent="0.35">
      <c r="A132" s="37">
        <v>126</v>
      </c>
      <c r="B132" s="35" t="s">
        <v>346</v>
      </c>
      <c r="C132" s="13"/>
      <c r="D132" s="38">
        <v>18929</v>
      </c>
    </row>
    <row r="133" spans="1:4" x14ac:dyDescent="0.35">
      <c r="A133" s="37">
        <v>127</v>
      </c>
      <c r="B133" s="35" t="s">
        <v>347</v>
      </c>
      <c r="C133" s="13"/>
      <c r="D133" s="38">
        <v>19525</v>
      </c>
    </row>
    <row r="134" spans="1:4" x14ac:dyDescent="0.35">
      <c r="A134" s="37">
        <v>128</v>
      </c>
      <c r="B134" s="35" t="s">
        <v>348</v>
      </c>
      <c r="C134" s="13"/>
      <c r="D134" s="38">
        <v>55955</v>
      </c>
    </row>
    <row r="135" spans="1:4" x14ac:dyDescent="0.35">
      <c r="A135" s="37">
        <v>129</v>
      </c>
      <c r="B135" s="35" t="s">
        <v>349</v>
      </c>
      <c r="C135" s="38">
        <v>13410</v>
      </c>
      <c r="D135" s="13"/>
    </row>
    <row r="136" spans="1:4" x14ac:dyDescent="0.35">
      <c r="A136" s="37">
        <v>130</v>
      </c>
      <c r="B136" s="35" t="s">
        <v>350</v>
      </c>
      <c r="C136" s="38">
        <v>15314</v>
      </c>
      <c r="D136" s="13"/>
    </row>
    <row r="137" spans="1:4" x14ac:dyDescent="0.35">
      <c r="A137" s="37">
        <v>131</v>
      </c>
      <c r="B137" s="35" t="s">
        <v>351</v>
      </c>
      <c r="C137" s="38">
        <v>2452</v>
      </c>
      <c r="D137" s="13"/>
    </row>
    <row r="138" spans="1:4" x14ac:dyDescent="0.35">
      <c r="A138" s="37">
        <v>132</v>
      </c>
      <c r="B138" s="35" t="s">
        <v>352</v>
      </c>
      <c r="C138" s="13"/>
      <c r="D138" s="38">
        <v>961</v>
      </c>
    </row>
    <row r="139" spans="1:4" x14ac:dyDescent="0.35">
      <c r="A139" s="37">
        <v>133</v>
      </c>
      <c r="B139" s="35" t="s">
        <v>353</v>
      </c>
      <c r="C139" s="38">
        <v>1000</v>
      </c>
      <c r="D139" s="13"/>
    </row>
    <row r="140" spans="1:4" x14ac:dyDescent="0.35">
      <c r="A140" s="37">
        <v>134</v>
      </c>
      <c r="B140" s="35" t="s">
        <v>354</v>
      </c>
      <c r="C140" s="38">
        <v>15783</v>
      </c>
      <c r="D140" s="13"/>
    </row>
    <row r="141" spans="1:4" x14ac:dyDescent="0.35">
      <c r="A141" s="37">
        <v>135</v>
      </c>
      <c r="B141" s="35" t="s">
        <v>355</v>
      </c>
      <c r="C141" s="38">
        <v>1772</v>
      </c>
      <c r="D141" s="13"/>
    </row>
    <row r="142" spans="1:4" x14ac:dyDescent="0.35">
      <c r="A142" s="37">
        <v>136</v>
      </c>
      <c r="B142" s="35" t="s">
        <v>356</v>
      </c>
      <c r="C142" s="38">
        <v>1500</v>
      </c>
      <c r="D142" s="13"/>
    </row>
    <row r="143" spans="1:4" x14ac:dyDescent="0.35">
      <c r="A143" s="37">
        <v>137</v>
      </c>
      <c r="B143" s="35" t="s">
        <v>357</v>
      </c>
      <c r="C143" s="38">
        <v>76602</v>
      </c>
      <c r="D143" s="13"/>
    </row>
    <row r="144" spans="1:4" x14ac:dyDescent="0.35">
      <c r="A144" s="37">
        <v>138</v>
      </c>
      <c r="B144" s="35" t="s">
        <v>358</v>
      </c>
      <c r="C144" s="38">
        <v>91912</v>
      </c>
      <c r="D144" s="13"/>
    </row>
    <row r="145" spans="1:4" x14ac:dyDescent="0.35">
      <c r="A145" s="37">
        <v>139</v>
      </c>
      <c r="B145" s="35" t="s">
        <v>359</v>
      </c>
      <c r="C145" s="13"/>
      <c r="D145" s="38">
        <v>7732</v>
      </c>
    </row>
    <row r="146" spans="1:4" x14ac:dyDescent="0.35">
      <c r="A146" s="37">
        <v>140</v>
      </c>
      <c r="B146" s="35" t="s">
        <v>360</v>
      </c>
      <c r="C146" s="38">
        <v>364</v>
      </c>
      <c r="D146" s="13"/>
    </row>
    <row r="147" spans="1:4" x14ac:dyDescent="0.35">
      <c r="A147" s="37">
        <v>141</v>
      </c>
      <c r="B147" s="35" t="s">
        <v>361</v>
      </c>
      <c r="C147" s="38">
        <v>4024</v>
      </c>
      <c r="D147" s="13"/>
    </row>
    <row r="148" spans="1:4" x14ac:dyDescent="0.35">
      <c r="A148" s="37">
        <v>142</v>
      </c>
      <c r="B148" s="35" t="s">
        <v>362</v>
      </c>
      <c r="C148" s="38">
        <v>280</v>
      </c>
      <c r="D148" s="13"/>
    </row>
    <row r="149" spans="1:4" x14ac:dyDescent="0.35">
      <c r="A149" s="37">
        <v>143</v>
      </c>
      <c r="B149" s="35" t="s">
        <v>363</v>
      </c>
      <c r="C149" s="38">
        <v>4956</v>
      </c>
      <c r="D149" s="13"/>
    </row>
    <row r="150" spans="1:4" x14ac:dyDescent="0.35">
      <c r="A150" s="37">
        <v>144</v>
      </c>
      <c r="B150" s="35" t="s">
        <v>364</v>
      </c>
      <c r="C150" s="13"/>
      <c r="D150" s="38">
        <v>696</v>
      </c>
    </row>
    <row r="151" spans="1:4" x14ac:dyDescent="0.35">
      <c r="A151" s="37">
        <v>145</v>
      </c>
      <c r="B151" s="35" t="s">
        <v>365</v>
      </c>
      <c r="C151" s="38">
        <v>1418</v>
      </c>
      <c r="D151" s="13"/>
    </row>
    <row r="152" spans="1:4" x14ac:dyDescent="0.35">
      <c r="A152" s="37">
        <v>146</v>
      </c>
      <c r="B152" s="35" t="s">
        <v>366</v>
      </c>
      <c r="C152" s="38">
        <v>7300</v>
      </c>
      <c r="D152" s="13"/>
    </row>
    <row r="153" spans="1:4" x14ac:dyDescent="0.35">
      <c r="A153" s="37">
        <v>147</v>
      </c>
      <c r="B153" s="35" t="s">
        <v>367</v>
      </c>
      <c r="C153" s="38">
        <v>3491</v>
      </c>
      <c r="D153" s="13"/>
    </row>
    <row r="154" spans="1:4" x14ac:dyDescent="0.35">
      <c r="A154" s="37">
        <v>148</v>
      </c>
      <c r="B154" s="35" t="s">
        <v>368</v>
      </c>
      <c r="C154" s="38">
        <v>1080</v>
      </c>
      <c r="D154" s="13"/>
    </row>
    <row r="155" spans="1:4" x14ac:dyDescent="0.35">
      <c r="A155" s="37">
        <v>149</v>
      </c>
      <c r="B155" s="35" t="s">
        <v>369</v>
      </c>
      <c r="C155" s="38">
        <v>535</v>
      </c>
      <c r="D155" s="13"/>
    </row>
    <row r="156" spans="1:4" x14ac:dyDescent="0.35">
      <c r="A156" s="37">
        <v>150</v>
      </c>
      <c r="B156" s="35" t="s">
        <v>370</v>
      </c>
      <c r="C156" s="38">
        <v>7085</v>
      </c>
      <c r="D156" s="13"/>
    </row>
    <row r="157" spans="1:4" x14ac:dyDescent="0.35">
      <c r="A157" s="37">
        <v>151</v>
      </c>
      <c r="B157" s="35" t="s">
        <v>371</v>
      </c>
      <c r="C157" s="38">
        <v>18918</v>
      </c>
      <c r="D157" s="13"/>
    </row>
    <row r="158" spans="1:4" x14ac:dyDescent="0.35">
      <c r="A158" s="37">
        <v>152</v>
      </c>
      <c r="B158" s="35" t="s">
        <v>372</v>
      </c>
      <c r="C158" s="38">
        <v>5654</v>
      </c>
      <c r="D158" s="13"/>
    </row>
    <row r="159" spans="1:4" x14ac:dyDescent="0.35">
      <c r="A159" s="37">
        <v>153</v>
      </c>
      <c r="B159" s="35" t="s">
        <v>373</v>
      </c>
      <c r="C159" s="38">
        <v>4</v>
      </c>
      <c r="D159" s="13"/>
    </row>
    <row r="160" spans="1:4" x14ac:dyDescent="0.35">
      <c r="A160" s="37">
        <v>154</v>
      </c>
      <c r="B160" s="35" t="s">
        <v>374</v>
      </c>
      <c r="C160" s="38">
        <v>1984</v>
      </c>
      <c r="D160" s="13"/>
    </row>
    <row r="161" spans="1:4" x14ac:dyDescent="0.35">
      <c r="A161" s="37">
        <v>155</v>
      </c>
      <c r="B161" s="35" t="s">
        <v>375</v>
      </c>
      <c r="C161" s="13"/>
      <c r="D161" s="38">
        <v>400</v>
      </c>
    </row>
    <row r="162" spans="1:4" x14ac:dyDescent="0.35">
      <c r="A162" s="37">
        <v>156</v>
      </c>
      <c r="B162" s="35" t="s">
        <v>376</v>
      </c>
      <c r="C162" s="38">
        <v>20322</v>
      </c>
      <c r="D162" s="13"/>
    </row>
    <row r="163" spans="1:4" x14ac:dyDescent="0.35">
      <c r="A163" s="37">
        <v>157</v>
      </c>
      <c r="B163" s="35" t="s">
        <v>377</v>
      </c>
      <c r="C163" s="38">
        <v>1</v>
      </c>
      <c r="D163" s="13"/>
    </row>
    <row r="164" spans="1:4" x14ac:dyDescent="0.35">
      <c r="A164" s="37">
        <v>158</v>
      </c>
      <c r="B164" s="35" t="s">
        <v>378</v>
      </c>
      <c r="C164" s="38">
        <v>2404</v>
      </c>
      <c r="D164" s="13"/>
    </row>
    <row r="165" spans="1:4" x14ac:dyDescent="0.35">
      <c r="A165" s="37">
        <v>159</v>
      </c>
      <c r="B165" s="35" t="s">
        <v>379</v>
      </c>
      <c r="C165" s="13"/>
      <c r="D165" s="38">
        <v>7041</v>
      </c>
    </row>
    <row r="166" spans="1:4" x14ac:dyDescent="0.35">
      <c r="A166" s="37">
        <v>160</v>
      </c>
      <c r="B166" s="35" t="s">
        <v>380</v>
      </c>
      <c r="C166" s="38">
        <v>36</v>
      </c>
      <c r="D166" s="13"/>
    </row>
    <row r="167" spans="1:4" x14ac:dyDescent="0.35">
      <c r="A167" s="37">
        <v>161</v>
      </c>
      <c r="B167" s="35" t="s">
        <v>381</v>
      </c>
      <c r="C167" s="38">
        <v>12003</v>
      </c>
      <c r="D167" s="13"/>
    </row>
    <row r="168" spans="1:4" x14ac:dyDescent="0.35">
      <c r="A168" s="37">
        <v>162</v>
      </c>
      <c r="B168" s="35" t="s">
        <v>382</v>
      </c>
      <c r="C168" s="13"/>
      <c r="D168" s="38">
        <v>300</v>
      </c>
    </row>
    <row r="169" spans="1:4" x14ac:dyDescent="0.35">
      <c r="A169" s="37">
        <v>163</v>
      </c>
      <c r="B169" s="35" t="s">
        <v>383</v>
      </c>
      <c r="C169" s="38">
        <v>51258</v>
      </c>
      <c r="D169" s="13"/>
    </row>
    <row r="170" spans="1:4" x14ac:dyDescent="0.35">
      <c r="A170" s="37">
        <v>164</v>
      </c>
      <c r="B170" s="35" t="s">
        <v>384</v>
      </c>
      <c r="C170" s="38">
        <v>100</v>
      </c>
      <c r="D170" s="13"/>
    </row>
    <row r="171" spans="1:4" x14ac:dyDescent="0.35">
      <c r="A171" s="37">
        <v>165</v>
      </c>
      <c r="B171" s="35" t="s">
        <v>385</v>
      </c>
      <c r="C171" s="13"/>
      <c r="D171" s="38">
        <v>30</v>
      </c>
    </row>
    <row r="172" spans="1:4" x14ac:dyDescent="0.35">
      <c r="A172" s="37">
        <v>166</v>
      </c>
      <c r="B172" s="35" t="s">
        <v>386</v>
      </c>
      <c r="C172" s="38">
        <v>6904</v>
      </c>
      <c r="D172" s="13"/>
    </row>
    <row r="173" spans="1:4" x14ac:dyDescent="0.35">
      <c r="A173" s="37">
        <v>167</v>
      </c>
      <c r="B173" s="35" t="s">
        <v>387</v>
      </c>
      <c r="C173" s="38">
        <v>3000</v>
      </c>
      <c r="D173" s="13"/>
    </row>
    <row r="174" spans="1:4" x14ac:dyDescent="0.35">
      <c r="A174" s="37">
        <v>168</v>
      </c>
      <c r="B174" s="35" t="s">
        <v>388</v>
      </c>
      <c r="C174" s="13"/>
      <c r="D174" s="38">
        <v>137</v>
      </c>
    </row>
    <row r="175" spans="1:4" x14ac:dyDescent="0.35">
      <c r="A175" s="37">
        <v>169</v>
      </c>
      <c r="B175" s="35" t="s">
        <v>389</v>
      </c>
      <c r="C175" s="38">
        <v>497</v>
      </c>
      <c r="D175" s="13"/>
    </row>
    <row r="176" spans="1:4" x14ac:dyDescent="0.35">
      <c r="A176" s="37">
        <v>170</v>
      </c>
      <c r="B176" s="35" t="s">
        <v>390</v>
      </c>
      <c r="C176" s="38">
        <v>1</v>
      </c>
      <c r="D176" s="13"/>
    </row>
    <row r="177" spans="1:4" x14ac:dyDescent="0.35">
      <c r="A177" s="37">
        <v>171</v>
      </c>
      <c r="B177" s="35" t="s">
        <v>391</v>
      </c>
      <c r="C177" s="38">
        <v>1000</v>
      </c>
      <c r="D177" s="13"/>
    </row>
    <row r="178" spans="1:4" x14ac:dyDescent="0.35">
      <c r="A178" s="37">
        <v>172</v>
      </c>
      <c r="B178" s="35" t="s">
        <v>392</v>
      </c>
      <c r="C178" s="13"/>
      <c r="D178" s="38">
        <v>2</v>
      </c>
    </row>
    <row r="179" spans="1:4" x14ac:dyDescent="0.35">
      <c r="A179" s="37">
        <v>173</v>
      </c>
      <c r="B179" s="35" t="s">
        <v>393</v>
      </c>
      <c r="C179" s="38">
        <v>3360</v>
      </c>
      <c r="D179" s="13"/>
    </row>
    <row r="180" spans="1:4" x14ac:dyDescent="0.35">
      <c r="A180" s="37">
        <v>174</v>
      </c>
      <c r="B180" s="35" t="s">
        <v>394</v>
      </c>
      <c r="C180" s="38">
        <v>5208</v>
      </c>
      <c r="D180" s="13"/>
    </row>
    <row r="181" spans="1:4" x14ac:dyDescent="0.35">
      <c r="A181" s="37">
        <v>175</v>
      </c>
      <c r="B181" s="35" t="s">
        <v>395</v>
      </c>
      <c r="C181" s="38">
        <v>4424</v>
      </c>
      <c r="D181" s="13"/>
    </row>
    <row r="182" spans="1:4" x14ac:dyDescent="0.35">
      <c r="A182" s="37">
        <v>176</v>
      </c>
      <c r="B182" s="35" t="s">
        <v>396</v>
      </c>
      <c r="C182" s="38">
        <v>29974</v>
      </c>
      <c r="D182" s="13"/>
    </row>
    <row r="183" spans="1:4" x14ac:dyDescent="0.35">
      <c r="A183" s="37">
        <v>177</v>
      </c>
      <c r="B183" s="35" t="s">
        <v>397</v>
      </c>
      <c r="C183" s="13"/>
      <c r="D183" s="38">
        <v>2</v>
      </c>
    </row>
    <row r="184" spans="1:4" x14ac:dyDescent="0.35">
      <c r="A184" s="37">
        <v>178</v>
      </c>
      <c r="B184" s="35" t="s">
        <v>398</v>
      </c>
      <c r="C184" s="38">
        <v>176824</v>
      </c>
      <c r="D184" s="13"/>
    </row>
    <row r="185" spans="1:4" x14ac:dyDescent="0.35">
      <c r="A185" s="37">
        <v>179</v>
      </c>
      <c r="B185" s="35" t="s">
        <v>399</v>
      </c>
      <c r="C185" s="38">
        <v>5232</v>
      </c>
      <c r="D185" s="13"/>
    </row>
    <row r="186" spans="1:4" x14ac:dyDescent="0.35">
      <c r="A186" s="37">
        <v>180</v>
      </c>
      <c r="B186" s="35" t="s">
        <v>400</v>
      </c>
      <c r="C186" s="38">
        <v>2793</v>
      </c>
      <c r="D186" s="13"/>
    </row>
    <row r="187" spans="1:4" x14ac:dyDescent="0.35">
      <c r="A187" s="37">
        <v>181</v>
      </c>
      <c r="B187" s="35" t="s">
        <v>401</v>
      </c>
      <c r="C187" s="38">
        <v>40</v>
      </c>
      <c r="D187" s="13"/>
    </row>
    <row r="188" spans="1:4" x14ac:dyDescent="0.35">
      <c r="A188" s="37">
        <v>182</v>
      </c>
      <c r="B188" s="35" t="s">
        <v>402</v>
      </c>
      <c r="C188" s="38">
        <v>2067</v>
      </c>
      <c r="D188" s="13"/>
    </row>
    <row r="189" spans="1:4" x14ac:dyDescent="0.35">
      <c r="A189" s="37">
        <v>183</v>
      </c>
      <c r="B189" s="35" t="s">
        <v>403</v>
      </c>
      <c r="C189" s="38">
        <v>896</v>
      </c>
      <c r="D189" s="13"/>
    </row>
    <row r="190" spans="1:4" x14ac:dyDescent="0.35">
      <c r="A190" s="37">
        <v>184</v>
      </c>
      <c r="B190" s="35" t="s">
        <v>404</v>
      </c>
      <c r="C190" s="38">
        <v>5567</v>
      </c>
      <c r="D190" s="13"/>
    </row>
    <row r="191" spans="1:4" x14ac:dyDescent="0.35">
      <c r="A191" s="37">
        <v>185</v>
      </c>
      <c r="B191" s="35" t="s">
        <v>405</v>
      </c>
      <c r="C191" s="38">
        <v>3427</v>
      </c>
      <c r="D191" s="13"/>
    </row>
    <row r="192" spans="1:4" x14ac:dyDescent="0.35">
      <c r="A192" s="37">
        <v>186</v>
      </c>
      <c r="B192" s="35" t="s">
        <v>406</v>
      </c>
      <c r="C192" s="38">
        <v>1050</v>
      </c>
      <c r="D192" s="13"/>
    </row>
    <row r="193" spans="1:4" x14ac:dyDescent="0.35">
      <c r="A193" s="37">
        <v>187</v>
      </c>
      <c r="B193" s="35" t="s">
        <v>407</v>
      </c>
      <c r="C193" s="38">
        <v>1950</v>
      </c>
      <c r="D193" s="13"/>
    </row>
    <row r="194" spans="1:4" x14ac:dyDescent="0.35">
      <c r="A194" s="37">
        <v>188</v>
      </c>
      <c r="B194" s="35" t="s">
        <v>408</v>
      </c>
      <c r="C194" s="38">
        <v>74</v>
      </c>
      <c r="D194" s="13"/>
    </row>
    <row r="195" spans="1:4" x14ac:dyDescent="0.35">
      <c r="A195" s="37">
        <v>189</v>
      </c>
      <c r="B195" s="35" t="s">
        <v>409</v>
      </c>
      <c r="C195" s="38">
        <v>930</v>
      </c>
      <c r="D195" s="13"/>
    </row>
    <row r="196" spans="1:4" x14ac:dyDescent="0.35">
      <c r="A196" s="37">
        <v>190</v>
      </c>
      <c r="B196" s="35" t="s">
        <v>410</v>
      </c>
      <c r="C196" s="38">
        <v>10723</v>
      </c>
      <c r="D196" s="13"/>
    </row>
    <row r="197" spans="1:4" x14ac:dyDescent="0.35">
      <c r="A197" s="37">
        <v>191</v>
      </c>
      <c r="B197" s="35" t="s">
        <v>411</v>
      </c>
      <c r="C197" s="38">
        <v>13862.05</v>
      </c>
      <c r="D197" s="13"/>
    </row>
    <row r="198" spans="1:4" x14ac:dyDescent="0.35">
      <c r="A198" s="37">
        <v>192</v>
      </c>
      <c r="B198" s="35" t="s">
        <v>412</v>
      </c>
      <c r="C198" s="38">
        <v>112166</v>
      </c>
      <c r="D198" s="13"/>
    </row>
    <row r="199" spans="1:4" x14ac:dyDescent="0.35">
      <c r="A199" s="37">
        <v>193</v>
      </c>
      <c r="B199" s="35" t="s">
        <v>413</v>
      </c>
      <c r="C199" s="38">
        <v>16248</v>
      </c>
      <c r="D199" s="13"/>
    </row>
    <row r="200" spans="1:4" x14ac:dyDescent="0.35">
      <c r="A200" s="37">
        <v>194</v>
      </c>
      <c r="B200" s="35" t="s">
        <v>414</v>
      </c>
      <c r="C200" s="38">
        <v>3661</v>
      </c>
      <c r="D200" s="13"/>
    </row>
    <row r="201" spans="1:4" x14ac:dyDescent="0.35">
      <c r="A201" s="37">
        <v>195</v>
      </c>
      <c r="B201" s="35" t="s">
        <v>415</v>
      </c>
      <c r="C201" s="38">
        <v>2567</v>
      </c>
      <c r="D201" s="13"/>
    </row>
    <row r="202" spans="1:4" x14ac:dyDescent="0.35">
      <c r="A202" s="37">
        <v>196</v>
      </c>
      <c r="B202" s="35" t="s">
        <v>416</v>
      </c>
      <c r="C202" s="38">
        <v>37991</v>
      </c>
      <c r="D202" s="13"/>
    </row>
    <row r="203" spans="1:4" x14ac:dyDescent="0.35">
      <c r="A203" s="37">
        <v>197</v>
      </c>
      <c r="B203" s="35" t="s">
        <v>417</v>
      </c>
      <c r="C203" s="38">
        <v>4154</v>
      </c>
      <c r="D203" s="13"/>
    </row>
    <row r="204" spans="1:4" x14ac:dyDescent="0.35">
      <c r="A204" s="37">
        <v>198</v>
      </c>
      <c r="B204" s="35" t="s">
        <v>418</v>
      </c>
      <c r="C204" s="38">
        <v>929</v>
      </c>
      <c r="D204" s="13"/>
    </row>
    <row r="205" spans="1:4" x14ac:dyDescent="0.35">
      <c r="A205" s="37">
        <v>199</v>
      </c>
      <c r="B205" s="35" t="s">
        <v>419</v>
      </c>
      <c r="C205" s="13"/>
      <c r="D205" s="38">
        <v>95.27</v>
      </c>
    </row>
    <row r="206" spans="1:4" x14ac:dyDescent="0.35">
      <c r="A206" s="37">
        <v>200</v>
      </c>
      <c r="B206" s="35" t="s">
        <v>420</v>
      </c>
      <c r="C206" s="38">
        <v>7850</v>
      </c>
      <c r="D206" s="13"/>
    </row>
    <row r="207" spans="1:4" x14ac:dyDescent="0.35">
      <c r="A207" s="37">
        <v>201</v>
      </c>
      <c r="B207" s="35" t="s">
        <v>421</v>
      </c>
      <c r="C207" s="38">
        <v>2100</v>
      </c>
      <c r="D207" s="13"/>
    </row>
    <row r="208" spans="1:4" x14ac:dyDescent="0.35">
      <c r="A208" s="37">
        <v>202</v>
      </c>
      <c r="B208" s="35" t="s">
        <v>422</v>
      </c>
      <c r="C208" s="38">
        <v>6925</v>
      </c>
      <c r="D208" s="13"/>
    </row>
    <row r="209" spans="1:4" x14ac:dyDescent="0.35">
      <c r="A209" s="37">
        <v>203</v>
      </c>
      <c r="B209" s="35" t="s">
        <v>423</v>
      </c>
      <c r="C209" s="38">
        <v>3258</v>
      </c>
      <c r="D209" s="13"/>
    </row>
    <row r="210" spans="1:4" x14ac:dyDescent="0.35">
      <c r="A210" s="37">
        <v>204</v>
      </c>
      <c r="B210" s="35" t="s">
        <v>424</v>
      </c>
      <c r="C210" s="38">
        <v>9497</v>
      </c>
      <c r="D210" s="13"/>
    </row>
    <row r="211" spans="1:4" x14ac:dyDescent="0.35">
      <c r="A211" s="37">
        <v>205</v>
      </c>
      <c r="B211" s="35" t="s">
        <v>425</v>
      </c>
      <c r="C211" s="38">
        <v>1845</v>
      </c>
      <c r="D211" s="13"/>
    </row>
    <row r="212" spans="1:4" x14ac:dyDescent="0.35">
      <c r="A212" s="37">
        <v>206</v>
      </c>
      <c r="B212" s="35" t="s">
        <v>426</v>
      </c>
      <c r="C212" s="38">
        <v>11368</v>
      </c>
      <c r="D212" s="13"/>
    </row>
    <row r="213" spans="1:4" x14ac:dyDescent="0.35">
      <c r="A213" s="37">
        <v>207</v>
      </c>
      <c r="B213" s="35" t="s">
        <v>427</v>
      </c>
      <c r="C213" s="38">
        <v>8595</v>
      </c>
      <c r="D213" s="13"/>
    </row>
    <row r="214" spans="1:4" x14ac:dyDescent="0.35">
      <c r="A214" s="37">
        <v>208</v>
      </c>
      <c r="B214" s="35" t="s">
        <v>428</v>
      </c>
      <c r="C214" s="38">
        <v>2000</v>
      </c>
      <c r="D214" s="13"/>
    </row>
    <row r="215" spans="1:4" x14ac:dyDescent="0.35">
      <c r="A215" s="37">
        <v>209</v>
      </c>
      <c r="B215" s="35" t="s">
        <v>429</v>
      </c>
      <c r="C215" s="38">
        <v>2497</v>
      </c>
      <c r="D215" s="13"/>
    </row>
    <row r="216" spans="1:4" x14ac:dyDescent="0.35">
      <c r="A216" s="37">
        <v>210</v>
      </c>
      <c r="B216" s="35" t="s">
        <v>430</v>
      </c>
      <c r="C216" s="38">
        <v>30</v>
      </c>
      <c r="D216" s="13"/>
    </row>
    <row r="217" spans="1:4" x14ac:dyDescent="0.35">
      <c r="A217" s="37">
        <v>211</v>
      </c>
      <c r="B217" s="35" t="s">
        <v>431</v>
      </c>
      <c r="C217" s="38">
        <v>9287</v>
      </c>
      <c r="D217" s="13"/>
    </row>
    <row r="218" spans="1:4" x14ac:dyDescent="0.35">
      <c r="A218" s="37">
        <v>212</v>
      </c>
      <c r="B218" s="35" t="s">
        <v>432</v>
      </c>
      <c r="C218" s="38">
        <v>703</v>
      </c>
      <c r="D218" s="13"/>
    </row>
    <row r="219" spans="1:4" x14ac:dyDescent="0.35">
      <c r="A219" s="37">
        <v>213</v>
      </c>
      <c r="B219" s="35" t="s">
        <v>433</v>
      </c>
      <c r="C219" s="38">
        <v>49</v>
      </c>
      <c r="D219" s="13"/>
    </row>
    <row r="220" spans="1:4" x14ac:dyDescent="0.35">
      <c r="A220" s="37">
        <v>214</v>
      </c>
      <c r="B220" s="35" t="s">
        <v>434</v>
      </c>
      <c r="C220" s="38">
        <v>6064</v>
      </c>
      <c r="D220" s="13"/>
    </row>
    <row r="221" spans="1:4" x14ac:dyDescent="0.35">
      <c r="A221" s="37">
        <v>215</v>
      </c>
      <c r="B221" s="35" t="s">
        <v>435</v>
      </c>
      <c r="C221" s="38">
        <v>3949</v>
      </c>
      <c r="D221" s="13"/>
    </row>
    <row r="222" spans="1:4" x14ac:dyDescent="0.35">
      <c r="A222" s="37">
        <v>216</v>
      </c>
      <c r="B222" s="35" t="s">
        <v>436</v>
      </c>
      <c r="C222" s="38">
        <v>1930</v>
      </c>
      <c r="D222" s="13"/>
    </row>
    <row r="223" spans="1:4" x14ac:dyDescent="0.35">
      <c r="A223" s="37">
        <v>217</v>
      </c>
      <c r="B223" s="35" t="s">
        <v>437</v>
      </c>
      <c r="C223" s="38">
        <v>3169</v>
      </c>
      <c r="D223" s="13"/>
    </row>
    <row r="224" spans="1:4" x14ac:dyDescent="0.35">
      <c r="A224" s="37">
        <v>218</v>
      </c>
      <c r="B224" s="35" t="s">
        <v>438</v>
      </c>
      <c r="C224" s="38">
        <v>90</v>
      </c>
      <c r="D224" s="13"/>
    </row>
    <row r="225" spans="1:4" x14ac:dyDescent="0.35">
      <c r="A225" s="37">
        <v>219</v>
      </c>
      <c r="B225" s="35" t="s">
        <v>439</v>
      </c>
      <c r="C225" s="38">
        <v>2000</v>
      </c>
      <c r="D225" s="13"/>
    </row>
    <row r="226" spans="1:4" x14ac:dyDescent="0.35">
      <c r="A226" s="37">
        <v>220</v>
      </c>
      <c r="B226" s="35" t="s">
        <v>440</v>
      </c>
      <c r="C226" s="13"/>
      <c r="D226" s="38">
        <v>1565</v>
      </c>
    </row>
    <row r="227" spans="1:4" x14ac:dyDescent="0.35">
      <c r="A227" s="37">
        <v>221</v>
      </c>
      <c r="B227" s="35" t="s">
        <v>441</v>
      </c>
      <c r="C227" s="38">
        <v>10643</v>
      </c>
      <c r="D227" s="13"/>
    </row>
    <row r="228" spans="1:4" x14ac:dyDescent="0.35">
      <c r="A228" s="37">
        <v>222</v>
      </c>
      <c r="B228" s="35" t="s">
        <v>442</v>
      </c>
      <c r="C228" s="38">
        <v>135</v>
      </c>
      <c r="D228" s="13"/>
    </row>
    <row r="229" spans="1:4" x14ac:dyDescent="0.35">
      <c r="A229" s="37">
        <v>223</v>
      </c>
      <c r="B229" s="35" t="s">
        <v>443</v>
      </c>
      <c r="C229" s="38">
        <v>1953</v>
      </c>
      <c r="D229" s="13"/>
    </row>
    <row r="230" spans="1:4" x14ac:dyDescent="0.35">
      <c r="A230" s="37">
        <v>224</v>
      </c>
      <c r="B230" s="35" t="s">
        <v>444</v>
      </c>
      <c r="C230" s="38">
        <v>3830</v>
      </c>
      <c r="D230" s="13"/>
    </row>
    <row r="231" spans="1:4" x14ac:dyDescent="0.35">
      <c r="A231" s="37">
        <v>225</v>
      </c>
      <c r="B231" s="35" t="s">
        <v>445</v>
      </c>
      <c r="C231" s="38">
        <v>245</v>
      </c>
      <c r="D231" s="13"/>
    </row>
    <row r="232" spans="1:4" x14ac:dyDescent="0.35">
      <c r="A232" s="37">
        <v>226</v>
      </c>
      <c r="B232" s="35" t="s">
        <v>446</v>
      </c>
      <c r="C232" s="13"/>
      <c r="D232" s="38">
        <v>1074</v>
      </c>
    </row>
    <row r="233" spans="1:4" x14ac:dyDescent="0.35">
      <c r="A233" s="37">
        <v>227</v>
      </c>
      <c r="B233" s="35" t="s">
        <v>447</v>
      </c>
      <c r="C233" s="38">
        <v>3510</v>
      </c>
      <c r="D233" s="13"/>
    </row>
    <row r="234" spans="1:4" x14ac:dyDescent="0.35">
      <c r="A234" s="37">
        <v>228</v>
      </c>
      <c r="B234" s="35" t="s">
        <v>448</v>
      </c>
      <c r="C234" s="38">
        <v>2500</v>
      </c>
      <c r="D234" s="13"/>
    </row>
    <row r="235" spans="1:4" x14ac:dyDescent="0.35">
      <c r="A235" s="37">
        <v>229</v>
      </c>
      <c r="B235" s="35" t="s">
        <v>449</v>
      </c>
      <c r="C235" s="13"/>
      <c r="D235" s="38">
        <v>1226</v>
      </c>
    </row>
    <row r="236" spans="1:4" x14ac:dyDescent="0.35">
      <c r="A236" s="37">
        <v>230</v>
      </c>
      <c r="B236" s="35" t="s">
        <v>450</v>
      </c>
      <c r="C236" s="38">
        <v>50</v>
      </c>
      <c r="D236" s="13"/>
    </row>
    <row r="237" spans="1:4" x14ac:dyDescent="0.35">
      <c r="A237" s="37">
        <v>231</v>
      </c>
      <c r="B237" s="35" t="s">
        <v>451</v>
      </c>
      <c r="C237" s="38">
        <v>19036</v>
      </c>
      <c r="D237" s="13"/>
    </row>
    <row r="238" spans="1:4" x14ac:dyDescent="0.35">
      <c r="A238" s="37">
        <v>232</v>
      </c>
      <c r="B238" s="35" t="s">
        <v>452</v>
      </c>
      <c r="C238" s="38">
        <v>10703</v>
      </c>
      <c r="D238" s="13"/>
    </row>
    <row r="239" spans="1:4" x14ac:dyDescent="0.35">
      <c r="A239" s="37">
        <v>233</v>
      </c>
      <c r="B239" s="35" t="s">
        <v>453</v>
      </c>
      <c r="C239" s="38">
        <v>4192</v>
      </c>
      <c r="D239" s="13"/>
    </row>
    <row r="240" spans="1:4" x14ac:dyDescent="0.35">
      <c r="A240" s="37">
        <v>234</v>
      </c>
      <c r="B240" s="35" t="s">
        <v>454</v>
      </c>
      <c r="C240" s="38">
        <v>6400</v>
      </c>
      <c r="D240" s="13"/>
    </row>
    <row r="241" spans="1:4" x14ac:dyDescent="0.35">
      <c r="A241" s="37">
        <v>235</v>
      </c>
      <c r="B241" s="35" t="s">
        <v>455</v>
      </c>
      <c r="C241" s="13"/>
      <c r="D241" s="38">
        <v>8229</v>
      </c>
    </row>
    <row r="242" spans="1:4" x14ac:dyDescent="0.35">
      <c r="A242" s="37">
        <v>236</v>
      </c>
      <c r="B242" s="35" t="s">
        <v>456</v>
      </c>
      <c r="C242" s="38">
        <v>34683</v>
      </c>
      <c r="D242" s="13"/>
    </row>
    <row r="243" spans="1:4" x14ac:dyDescent="0.35">
      <c r="A243" s="37">
        <v>237</v>
      </c>
      <c r="B243" s="35" t="s">
        <v>457</v>
      </c>
      <c r="C243" s="38">
        <v>17658</v>
      </c>
      <c r="D243" s="13"/>
    </row>
    <row r="244" spans="1:4" x14ac:dyDescent="0.35">
      <c r="A244" s="37">
        <v>238</v>
      </c>
      <c r="B244" s="35" t="s">
        <v>458</v>
      </c>
      <c r="C244" s="38">
        <v>3220</v>
      </c>
      <c r="D244" s="13"/>
    </row>
    <row r="245" spans="1:4" x14ac:dyDescent="0.35">
      <c r="A245" s="37">
        <v>239</v>
      </c>
      <c r="B245" s="35" t="s">
        <v>459</v>
      </c>
      <c r="C245" s="13"/>
      <c r="D245" s="38">
        <v>2439</v>
      </c>
    </row>
    <row r="246" spans="1:4" x14ac:dyDescent="0.35">
      <c r="A246" s="37">
        <v>240</v>
      </c>
      <c r="B246" s="35" t="s">
        <v>460</v>
      </c>
      <c r="C246" s="38">
        <v>7901</v>
      </c>
      <c r="D246" s="13"/>
    </row>
    <row r="247" spans="1:4" x14ac:dyDescent="0.35">
      <c r="A247" s="37">
        <v>241</v>
      </c>
      <c r="B247" s="35" t="s">
        <v>461</v>
      </c>
      <c r="C247" s="38">
        <v>17056</v>
      </c>
      <c r="D247" s="13"/>
    </row>
    <row r="248" spans="1:4" x14ac:dyDescent="0.35">
      <c r="A248" s="37">
        <v>242</v>
      </c>
      <c r="B248" s="35" t="s">
        <v>462</v>
      </c>
      <c r="C248" s="38">
        <v>33</v>
      </c>
      <c r="D248" s="13"/>
    </row>
    <row r="249" spans="1:4" x14ac:dyDescent="0.35">
      <c r="A249" s="37">
        <v>243</v>
      </c>
      <c r="B249" s="35" t="s">
        <v>463</v>
      </c>
      <c r="C249" s="13"/>
      <c r="D249" s="38">
        <v>14</v>
      </c>
    </row>
    <row r="250" spans="1:4" x14ac:dyDescent="0.35">
      <c r="A250" s="37">
        <v>244</v>
      </c>
      <c r="B250" s="35" t="s">
        <v>464</v>
      </c>
      <c r="C250" s="38">
        <v>1</v>
      </c>
      <c r="D250" s="13"/>
    </row>
    <row r="251" spans="1:4" x14ac:dyDescent="0.35">
      <c r="A251" s="37">
        <v>245</v>
      </c>
      <c r="B251" s="35" t="s">
        <v>465</v>
      </c>
      <c r="C251" s="13"/>
      <c r="D251" s="38">
        <v>1</v>
      </c>
    </row>
    <row r="252" spans="1:4" x14ac:dyDescent="0.35">
      <c r="A252" s="37">
        <v>246</v>
      </c>
      <c r="B252" s="35" t="s">
        <v>466</v>
      </c>
      <c r="C252" s="38">
        <v>4733</v>
      </c>
      <c r="D252" s="13"/>
    </row>
    <row r="253" spans="1:4" x14ac:dyDescent="0.35">
      <c r="A253" s="37">
        <v>247</v>
      </c>
      <c r="B253" s="35" t="s">
        <v>467</v>
      </c>
      <c r="C253" s="13"/>
      <c r="D253" s="38">
        <v>33</v>
      </c>
    </row>
    <row r="254" spans="1:4" x14ac:dyDescent="0.35">
      <c r="A254" s="37">
        <v>248</v>
      </c>
      <c r="B254" s="35" t="s">
        <v>468</v>
      </c>
      <c r="C254" s="38">
        <v>1521</v>
      </c>
      <c r="D254" s="13"/>
    </row>
    <row r="255" spans="1:4" x14ac:dyDescent="0.35">
      <c r="A255" s="37">
        <v>249</v>
      </c>
      <c r="B255" s="35" t="s">
        <v>469</v>
      </c>
      <c r="C255" s="38">
        <v>1025</v>
      </c>
      <c r="D255" s="13"/>
    </row>
    <row r="256" spans="1:4" x14ac:dyDescent="0.35">
      <c r="A256" s="37">
        <v>250</v>
      </c>
      <c r="B256" s="35" t="s">
        <v>470</v>
      </c>
      <c r="C256" s="38">
        <v>4023</v>
      </c>
      <c r="D256" s="13"/>
    </row>
    <row r="257" spans="1:4" x14ac:dyDescent="0.35">
      <c r="A257" s="37">
        <v>251</v>
      </c>
      <c r="B257" s="35" t="s">
        <v>471</v>
      </c>
      <c r="C257" s="38">
        <v>924</v>
      </c>
      <c r="D257" s="13"/>
    </row>
    <row r="258" spans="1:4" x14ac:dyDescent="0.35">
      <c r="A258" s="37">
        <v>252</v>
      </c>
      <c r="B258" s="35" t="s">
        <v>472</v>
      </c>
      <c r="C258" s="38">
        <v>12591</v>
      </c>
      <c r="D258" s="13"/>
    </row>
    <row r="259" spans="1:4" x14ac:dyDescent="0.35">
      <c r="A259" s="37">
        <v>253</v>
      </c>
      <c r="B259" s="35" t="s">
        <v>473</v>
      </c>
      <c r="C259" s="38">
        <v>2511</v>
      </c>
      <c r="D259" s="13"/>
    </row>
    <row r="260" spans="1:4" x14ac:dyDescent="0.35">
      <c r="A260" s="37">
        <v>254</v>
      </c>
      <c r="B260" s="35" t="s">
        <v>474</v>
      </c>
      <c r="C260" s="13"/>
      <c r="D260" s="38">
        <v>1193</v>
      </c>
    </row>
    <row r="261" spans="1:4" x14ac:dyDescent="0.35">
      <c r="A261" s="37">
        <v>255</v>
      </c>
      <c r="B261" s="35" t="s">
        <v>475</v>
      </c>
      <c r="C261" s="13"/>
      <c r="D261" s="38">
        <v>10</v>
      </c>
    </row>
    <row r="262" spans="1:4" x14ac:dyDescent="0.35">
      <c r="A262" s="37">
        <v>256</v>
      </c>
      <c r="B262" s="35" t="s">
        <v>476</v>
      </c>
      <c r="C262" s="38">
        <v>481</v>
      </c>
      <c r="D262" s="13"/>
    </row>
    <row r="263" spans="1:4" x14ac:dyDescent="0.35">
      <c r="A263" s="37">
        <v>257</v>
      </c>
      <c r="B263" s="35" t="s">
        <v>477</v>
      </c>
      <c r="C263" s="38">
        <v>20000</v>
      </c>
      <c r="D263" s="13"/>
    </row>
    <row r="264" spans="1:4" x14ac:dyDescent="0.35">
      <c r="A264" s="37">
        <v>258</v>
      </c>
      <c r="B264" s="35" t="s">
        <v>478</v>
      </c>
      <c r="C264" s="38">
        <v>8889</v>
      </c>
      <c r="D264" s="13"/>
    </row>
    <row r="265" spans="1:4" x14ac:dyDescent="0.35">
      <c r="A265" s="37">
        <v>259</v>
      </c>
      <c r="B265" s="35" t="s">
        <v>479</v>
      </c>
      <c r="C265" s="13"/>
      <c r="D265" s="38">
        <v>54</v>
      </c>
    </row>
    <row r="266" spans="1:4" x14ac:dyDescent="0.35">
      <c r="A266" s="37">
        <v>260</v>
      </c>
      <c r="B266" s="35" t="s">
        <v>480</v>
      </c>
      <c r="C266" s="38">
        <v>7588</v>
      </c>
      <c r="D266" s="13"/>
    </row>
    <row r="267" spans="1:4" x14ac:dyDescent="0.35">
      <c r="A267" s="37">
        <v>261</v>
      </c>
      <c r="B267" s="35" t="s">
        <v>481</v>
      </c>
      <c r="C267" s="38">
        <v>780</v>
      </c>
      <c r="D267" s="13"/>
    </row>
    <row r="268" spans="1:4" x14ac:dyDescent="0.35">
      <c r="A268" s="37">
        <v>262</v>
      </c>
      <c r="B268" s="35" t="s">
        <v>482</v>
      </c>
      <c r="C268" s="38">
        <v>29</v>
      </c>
      <c r="D268" s="13"/>
    </row>
    <row r="269" spans="1:4" x14ac:dyDescent="0.35">
      <c r="A269" s="37">
        <v>263</v>
      </c>
      <c r="B269" s="35" t="s">
        <v>483</v>
      </c>
      <c r="C269" s="38">
        <v>472</v>
      </c>
      <c r="D269" s="13"/>
    </row>
    <row r="270" spans="1:4" x14ac:dyDescent="0.35">
      <c r="A270" s="37">
        <v>264</v>
      </c>
      <c r="B270" s="35" t="s">
        <v>484</v>
      </c>
      <c r="C270" s="38">
        <v>1</v>
      </c>
      <c r="D270" s="13"/>
    </row>
    <row r="271" spans="1:4" x14ac:dyDescent="0.35">
      <c r="A271" s="37">
        <v>265</v>
      </c>
      <c r="B271" s="35" t="s">
        <v>485</v>
      </c>
      <c r="C271" s="13"/>
      <c r="D271" s="38">
        <v>14043</v>
      </c>
    </row>
    <row r="272" spans="1:4" x14ac:dyDescent="0.35">
      <c r="A272" s="37">
        <v>266</v>
      </c>
      <c r="B272" s="35" t="s">
        <v>486</v>
      </c>
      <c r="C272" s="38">
        <v>530</v>
      </c>
      <c r="D272" s="13"/>
    </row>
    <row r="273" spans="1:4" x14ac:dyDescent="0.35">
      <c r="A273" s="37">
        <v>267</v>
      </c>
      <c r="B273" s="35" t="s">
        <v>487</v>
      </c>
      <c r="C273" s="38">
        <v>212</v>
      </c>
      <c r="D273" s="13"/>
    </row>
    <row r="274" spans="1:4" x14ac:dyDescent="0.35">
      <c r="A274" s="37">
        <v>268</v>
      </c>
      <c r="B274" s="35" t="s">
        <v>488</v>
      </c>
      <c r="C274" s="38">
        <v>40</v>
      </c>
      <c r="D274" s="13"/>
    </row>
    <row r="275" spans="1:4" x14ac:dyDescent="0.35">
      <c r="A275" s="37">
        <v>269</v>
      </c>
      <c r="B275" s="35" t="s">
        <v>489</v>
      </c>
      <c r="C275" s="13"/>
      <c r="D275" s="38">
        <v>1</v>
      </c>
    </row>
    <row r="276" spans="1:4" x14ac:dyDescent="0.35">
      <c r="A276" s="37">
        <v>270</v>
      </c>
      <c r="B276" s="35" t="s">
        <v>490</v>
      </c>
      <c r="C276" s="38">
        <v>538</v>
      </c>
      <c r="D276" s="13"/>
    </row>
    <row r="277" spans="1:4" x14ac:dyDescent="0.35">
      <c r="A277" s="37">
        <v>271</v>
      </c>
      <c r="B277" s="35" t="s">
        <v>491</v>
      </c>
      <c r="C277" s="38">
        <v>1666</v>
      </c>
      <c r="D277" s="13"/>
    </row>
    <row r="278" spans="1:4" x14ac:dyDescent="0.35">
      <c r="A278" s="37">
        <v>272</v>
      </c>
      <c r="B278" s="35" t="s">
        <v>492</v>
      </c>
      <c r="C278" s="38">
        <v>90</v>
      </c>
      <c r="D278" s="13"/>
    </row>
    <row r="279" spans="1:4" x14ac:dyDescent="0.35">
      <c r="A279" s="37">
        <v>273</v>
      </c>
      <c r="B279" s="35" t="s">
        <v>493</v>
      </c>
      <c r="C279" s="38">
        <v>26764</v>
      </c>
      <c r="D279" s="13"/>
    </row>
    <row r="280" spans="1:4" x14ac:dyDescent="0.35">
      <c r="A280" s="37">
        <v>274</v>
      </c>
      <c r="B280" s="35" t="s">
        <v>494</v>
      </c>
      <c r="C280" s="38">
        <v>6721</v>
      </c>
      <c r="D280" s="13"/>
    </row>
    <row r="281" spans="1:4" x14ac:dyDescent="0.35">
      <c r="A281" s="37">
        <v>275</v>
      </c>
      <c r="B281" s="35" t="s">
        <v>495</v>
      </c>
      <c r="C281" s="13"/>
      <c r="D281" s="38">
        <v>156</v>
      </c>
    </row>
    <row r="282" spans="1:4" x14ac:dyDescent="0.35">
      <c r="A282" s="37">
        <v>276</v>
      </c>
      <c r="B282" s="35" t="s">
        <v>496</v>
      </c>
      <c r="C282" s="38">
        <v>1594</v>
      </c>
      <c r="D282" s="13"/>
    </row>
    <row r="283" spans="1:4" x14ac:dyDescent="0.35">
      <c r="A283" s="37">
        <v>277</v>
      </c>
      <c r="B283" s="35" t="s">
        <v>497</v>
      </c>
      <c r="C283" s="38">
        <v>18649</v>
      </c>
      <c r="D283" s="13"/>
    </row>
    <row r="284" spans="1:4" x14ac:dyDescent="0.35">
      <c r="A284" s="37">
        <v>278</v>
      </c>
      <c r="B284" s="35" t="s">
        <v>498</v>
      </c>
      <c r="C284" s="38">
        <v>109243</v>
      </c>
      <c r="D284" s="13"/>
    </row>
    <row r="285" spans="1:4" x14ac:dyDescent="0.35">
      <c r="A285" s="37">
        <v>279</v>
      </c>
      <c r="B285" s="35" t="s">
        <v>499</v>
      </c>
      <c r="C285" s="13"/>
      <c r="D285" s="38">
        <v>5453</v>
      </c>
    </row>
    <row r="286" spans="1:4" x14ac:dyDescent="0.35">
      <c r="A286" s="37">
        <v>280</v>
      </c>
      <c r="B286" s="35" t="s">
        <v>500</v>
      </c>
      <c r="C286" s="13"/>
      <c r="D286" s="38">
        <v>1</v>
      </c>
    </row>
    <row r="287" spans="1:4" x14ac:dyDescent="0.35">
      <c r="A287" s="37">
        <v>281</v>
      </c>
      <c r="B287" s="35" t="s">
        <v>501</v>
      </c>
      <c r="C287" s="13"/>
      <c r="D287" s="38">
        <v>3923</v>
      </c>
    </row>
    <row r="288" spans="1:4" x14ac:dyDescent="0.35">
      <c r="A288" s="37">
        <v>282</v>
      </c>
      <c r="B288" s="35" t="s">
        <v>502</v>
      </c>
      <c r="C288" s="38">
        <v>2383</v>
      </c>
      <c r="D288" s="13"/>
    </row>
    <row r="289" spans="1:4" x14ac:dyDescent="0.35">
      <c r="A289" s="37">
        <v>283</v>
      </c>
      <c r="B289" s="35" t="s">
        <v>503</v>
      </c>
      <c r="C289" s="38">
        <v>1582911.71</v>
      </c>
      <c r="D289" s="13"/>
    </row>
    <row r="290" spans="1:4" x14ac:dyDescent="0.35">
      <c r="A290" s="37">
        <v>284</v>
      </c>
      <c r="B290" s="35" t="s">
        <v>504</v>
      </c>
      <c r="C290" s="38">
        <v>10636</v>
      </c>
      <c r="D290" s="13"/>
    </row>
    <row r="291" spans="1:4" x14ac:dyDescent="0.35">
      <c r="A291" s="37">
        <v>285</v>
      </c>
      <c r="B291" s="35" t="s">
        <v>505</v>
      </c>
      <c r="C291" s="38">
        <v>97056</v>
      </c>
      <c r="D291" s="13"/>
    </row>
    <row r="292" spans="1:4" x14ac:dyDescent="0.35">
      <c r="A292" s="37">
        <v>286</v>
      </c>
      <c r="B292" s="35" t="s">
        <v>506</v>
      </c>
      <c r="C292" s="38">
        <v>40155</v>
      </c>
      <c r="D292" s="13"/>
    </row>
    <row r="293" spans="1:4" x14ac:dyDescent="0.35">
      <c r="A293" s="37">
        <v>287</v>
      </c>
      <c r="B293" s="35" t="s">
        <v>507</v>
      </c>
      <c r="C293" s="38">
        <v>8</v>
      </c>
      <c r="D293" s="13"/>
    </row>
    <row r="294" spans="1:4" x14ac:dyDescent="0.35">
      <c r="A294" s="37">
        <v>288</v>
      </c>
      <c r="B294" s="35" t="s">
        <v>508</v>
      </c>
      <c r="C294" s="38">
        <v>1644</v>
      </c>
      <c r="D294" s="13"/>
    </row>
    <row r="295" spans="1:4" x14ac:dyDescent="0.35">
      <c r="A295" s="37">
        <v>289</v>
      </c>
      <c r="B295" s="35" t="s">
        <v>509</v>
      </c>
      <c r="C295" s="38">
        <v>2202</v>
      </c>
      <c r="D295" s="13"/>
    </row>
    <row r="296" spans="1:4" x14ac:dyDescent="0.35">
      <c r="A296" s="37">
        <v>290</v>
      </c>
      <c r="B296" s="35" t="s">
        <v>510</v>
      </c>
      <c r="C296" s="38">
        <v>4031</v>
      </c>
      <c r="D296" s="13"/>
    </row>
    <row r="297" spans="1:4" x14ac:dyDescent="0.35">
      <c r="A297" s="37">
        <v>291</v>
      </c>
      <c r="B297" s="35" t="s">
        <v>511</v>
      </c>
      <c r="C297" s="13"/>
      <c r="D297" s="38">
        <v>9</v>
      </c>
    </row>
    <row r="298" spans="1:4" x14ac:dyDescent="0.35">
      <c r="A298" s="37">
        <v>292</v>
      </c>
      <c r="B298" s="35" t="s">
        <v>512</v>
      </c>
      <c r="C298" s="38">
        <v>17906</v>
      </c>
      <c r="D298" s="13"/>
    </row>
    <row r="299" spans="1:4" x14ac:dyDescent="0.35">
      <c r="A299" s="37">
        <v>293</v>
      </c>
      <c r="B299" s="35" t="s">
        <v>513</v>
      </c>
      <c r="C299" s="38">
        <v>513</v>
      </c>
      <c r="D299" s="13"/>
    </row>
    <row r="300" spans="1:4" x14ac:dyDescent="0.35">
      <c r="A300" s="37">
        <v>294</v>
      </c>
      <c r="B300" s="35" t="s">
        <v>514</v>
      </c>
      <c r="C300" s="38">
        <v>29951</v>
      </c>
      <c r="D300" s="13"/>
    </row>
    <row r="301" spans="1:4" x14ac:dyDescent="0.35">
      <c r="A301" s="37">
        <v>295</v>
      </c>
      <c r="B301" s="35" t="s">
        <v>515</v>
      </c>
      <c r="C301" s="38">
        <v>3223</v>
      </c>
      <c r="D301" s="13"/>
    </row>
    <row r="302" spans="1:4" x14ac:dyDescent="0.35">
      <c r="A302" s="37">
        <v>296</v>
      </c>
      <c r="B302" s="35" t="s">
        <v>516</v>
      </c>
      <c r="C302" s="38">
        <v>2782</v>
      </c>
      <c r="D302" s="13"/>
    </row>
    <row r="303" spans="1:4" x14ac:dyDescent="0.35">
      <c r="A303" s="37">
        <v>297</v>
      </c>
      <c r="B303" s="35" t="s">
        <v>517</v>
      </c>
      <c r="C303" s="38">
        <v>3086</v>
      </c>
      <c r="D303" s="13"/>
    </row>
    <row r="304" spans="1:4" x14ac:dyDescent="0.35">
      <c r="A304" s="37">
        <v>298</v>
      </c>
      <c r="B304" s="35" t="s">
        <v>518</v>
      </c>
      <c r="C304" s="38">
        <v>6193</v>
      </c>
      <c r="D304" s="13"/>
    </row>
    <row r="305" spans="1:4" x14ac:dyDescent="0.35">
      <c r="A305" s="37">
        <v>299</v>
      </c>
      <c r="B305" s="35" t="s">
        <v>519</v>
      </c>
      <c r="C305" s="13"/>
      <c r="D305" s="38">
        <v>32</v>
      </c>
    </row>
    <row r="306" spans="1:4" x14ac:dyDescent="0.35">
      <c r="A306" s="37">
        <v>300</v>
      </c>
      <c r="B306" s="35" t="s">
        <v>520</v>
      </c>
      <c r="C306" s="13"/>
      <c r="D306" s="38">
        <v>524</v>
      </c>
    </row>
    <row r="307" spans="1:4" x14ac:dyDescent="0.35">
      <c r="A307" s="37">
        <v>301</v>
      </c>
      <c r="B307" s="35" t="s">
        <v>521</v>
      </c>
      <c r="C307" s="38">
        <v>4643</v>
      </c>
      <c r="D307" s="13"/>
    </row>
    <row r="308" spans="1:4" x14ac:dyDescent="0.35">
      <c r="A308" s="37">
        <v>302</v>
      </c>
      <c r="B308" s="35" t="s">
        <v>522</v>
      </c>
      <c r="C308" s="38">
        <v>60</v>
      </c>
      <c r="D308" s="13"/>
    </row>
    <row r="309" spans="1:4" x14ac:dyDescent="0.35">
      <c r="A309" s="37">
        <v>303</v>
      </c>
      <c r="B309" s="35" t="s">
        <v>523</v>
      </c>
      <c r="C309" s="13"/>
      <c r="D309" s="38">
        <v>40565</v>
      </c>
    </row>
    <row r="310" spans="1:4" x14ac:dyDescent="0.35">
      <c r="A310" s="37">
        <v>304</v>
      </c>
      <c r="B310" s="35" t="s">
        <v>524</v>
      </c>
      <c r="C310" s="38">
        <v>4036</v>
      </c>
      <c r="D310" s="13"/>
    </row>
    <row r="311" spans="1:4" x14ac:dyDescent="0.35">
      <c r="A311" s="37">
        <v>305</v>
      </c>
      <c r="B311" s="35" t="s">
        <v>525</v>
      </c>
      <c r="C311" s="38">
        <v>88</v>
      </c>
      <c r="D311" s="13"/>
    </row>
    <row r="312" spans="1:4" x14ac:dyDescent="0.35">
      <c r="A312" s="37">
        <v>306</v>
      </c>
      <c r="B312" s="35" t="s">
        <v>526</v>
      </c>
      <c r="C312" s="38">
        <v>1575</v>
      </c>
      <c r="D312" s="13"/>
    </row>
    <row r="313" spans="1:4" x14ac:dyDescent="0.35">
      <c r="A313" s="37">
        <v>307</v>
      </c>
      <c r="B313" s="35" t="s">
        <v>527</v>
      </c>
      <c r="C313" s="13"/>
      <c r="D313" s="38">
        <v>1</v>
      </c>
    </row>
    <row r="314" spans="1:4" x14ac:dyDescent="0.35">
      <c r="A314" s="37">
        <v>308</v>
      </c>
      <c r="B314" s="35" t="s">
        <v>528</v>
      </c>
      <c r="C314" s="13"/>
      <c r="D314" s="38">
        <v>113</v>
      </c>
    </row>
    <row r="315" spans="1:4" x14ac:dyDescent="0.35">
      <c r="A315" s="37">
        <v>309</v>
      </c>
      <c r="B315" s="35" t="s">
        <v>529</v>
      </c>
      <c r="C315" s="13"/>
      <c r="D315" s="38">
        <v>1</v>
      </c>
    </row>
    <row r="316" spans="1:4" x14ac:dyDescent="0.35">
      <c r="A316" s="37">
        <v>310</v>
      </c>
      <c r="B316" s="35" t="s">
        <v>530</v>
      </c>
      <c r="C316" s="38">
        <v>17348</v>
      </c>
      <c r="D316" s="13"/>
    </row>
    <row r="317" spans="1:4" x14ac:dyDescent="0.35">
      <c r="A317" s="37">
        <v>311</v>
      </c>
      <c r="B317" s="35" t="s">
        <v>531</v>
      </c>
      <c r="C317" s="38">
        <v>98512</v>
      </c>
      <c r="D317" s="13"/>
    </row>
    <row r="318" spans="1:4" x14ac:dyDescent="0.35">
      <c r="A318" s="37">
        <v>312</v>
      </c>
      <c r="B318" s="35" t="s">
        <v>532</v>
      </c>
      <c r="C318" s="38">
        <v>864</v>
      </c>
      <c r="D318" s="13"/>
    </row>
    <row r="319" spans="1:4" x14ac:dyDescent="0.35">
      <c r="A319" s="37">
        <v>313</v>
      </c>
      <c r="B319" s="35" t="s">
        <v>533</v>
      </c>
      <c r="C319" s="13"/>
      <c r="D319" s="38">
        <v>164</v>
      </c>
    </row>
    <row r="320" spans="1:4" x14ac:dyDescent="0.35">
      <c r="A320" s="37">
        <v>314</v>
      </c>
      <c r="B320" s="35" t="s">
        <v>534</v>
      </c>
      <c r="C320" s="13"/>
      <c r="D320" s="38">
        <v>1</v>
      </c>
    </row>
    <row r="321" spans="1:4" x14ac:dyDescent="0.35">
      <c r="A321" s="37">
        <v>315</v>
      </c>
      <c r="B321" s="35" t="s">
        <v>535</v>
      </c>
      <c r="C321" s="38">
        <v>4982</v>
      </c>
      <c r="D321" s="13"/>
    </row>
    <row r="322" spans="1:4" x14ac:dyDescent="0.35">
      <c r="A322" s="37">
        <v>316</v>
      </c>
      <c r="B322" s="35" t="s">
        <v>536</v>
      </c>
      <c r="C322" s="13"/>
      <c r="D322" s="38">
        <v>1</v>
      </c>
    </row>
    <row r="323" spans="1:4" x14ac:dyDescent="0.35">
      <c r="A323" s="37">
        <v>317</v>
      </c>
      <c r="B323" s="35" t="s">
        <v>537</v>
      </c>
      <c r="C323" s="13"/>
      <c r="D323" s="38">
        <v>185</v>
      </c>
    </row>
    <row r="324" spans="1:4" x14ac:dyDescent="0.35">
      <c r="A324" s="37">
        <v>318</v>
      </c>
      <c r="B324" s="35" t="s">
        <v>538</v>
      </c>
      <c r="C324" s="38">
        <v>1304</v>
      </c>
      <c r="D324" s="13"/>
    </row>
    <row r="325" spans="1:4" x14ac:dyDescent="0.35">
      <c r="A325" s="37">
        <v>319</v>
      </c>
      <c r="B325" s="35" t="s">
        <v>539</v>
      </c>
      <c r="C325" s="38">
        <v>9748</v>
      </c>
      <c r="D325" s="13"/>
    </row>
    <row r="326" spans="1:4" x14ac:dyDescent="0.35">
      <c r="A326" s="37">
        <v>320</v>
      </c>
      <c r="B326" s="35" t="s">
        <v>540</v>
      </c>
      <c r="C326" s="13"/>
      <c r="D326" s="38">
        <v>1</v>
      </c>
    </row>
    <row r="327" spans="1:4" x14ac:dyDescent="0.35">
      <c r="A327" s="37">
        <v>321</v>
      </c>
      <c r="B327" s="35" t="s">
        <v>541</v>
      </c>
      <c r="C327" s="38">
        <v>936</v>
      </c>
      <c r="D327" s="13"/>
    </row>
    <row r="328" spans="1:4" x14ac:dyDescent="0.35">
      <c r="A328" s="37">
        <v>322</v>
      </c>
      <c r="B328" s="35" t="s">
        <v>542</v>
      </c>
      <c r="C328" s="38">
        <v>10749</v>
      </c>
      <c r="D328" s="13"/>
    </row>
    <row r="329" spans="1:4" x14ac:dyDescent="0.35">
      <c r="A329" s="37">
        <v>323</v>
      </c>
      <c r="B329" s="35" t="s">
        <v>543</v>
      </c>
      <c r="C329" s="38">
        <v>33944</v>
      </c>
      <c r="D329" s="13"/>
    </row>
    <row r="330" spans="1:4" x14ac:dyDescent="0.35">
      <c r="A330" s="37">
        <v>324</v>
      </c>
      <c r="B330" s="35" t="s">
        <v>544</v>
      </c>
      <c r="C330" s="13"/>
      <c r="D330" s="38">
        <v>400</v>
      </c>
    </row>
    <row r="331" spans="1:4" x14ac:dyDescent="0.35">
      <c r="A331" s="37">
        <v>325</v>
      </c>
      <c r="B331" s="35" t="s">
        <v>545</v>
      </c>
      <c r="C331" s="38">
        <v>2080</v>
      </c>
      <c r="D331" s="13"/>
    </row>
    <row r="332" spans="1:4" x14ac:dyDescent="0.35">
      <c r="A332" s="37">
        <v>326</v>
      </c>
      <c r="B332" s="35" t="s">
        <v>546</v>
      </c>
      <c r="C332" s="38">
        <v>260</v>
      </c>
      <c r="D332" s="13"/>
    </row>
    <row r="333" spans="1:4" x14ac:dyDescent="0.35">
      <c r="A333" s="37">
        <v>327</v>
      </c>
      <c r="B333" s="35" t="s">
        <v>547</v>
      </c>
      <c r="C333" s="13"/>
      <c r="D333" s="38">
        <v>1123</v>
      </c>
    </row>
    <row r="334" spans="1:4" x14ac:dyDescent="0.35">
      <c r="A334" s="37">
        <v>328</v>
      </c>
      <c r="B334" s="35" t="s">
        <v>548</v>
      </c>
      <c r="C334" s="13"/>
      <c r="D334" s="38">
        <v>127</v>
      </c>
    </row>
    <row r="335" spans="1:4" x14ac:dyDescent="0.35">
      <c r="A335" s="37">
        <v>329</v>
      </c>
      <c r="B335" s="35" t="s">
        <v>549</v>
      </c>
      <c r="C335" s="38">
        <v>1</v>
      </c>
      <c r="D335" s="13"/>
    </row>
    <row r="336" spans="1:4" x14ac:dyDescent="0.35">
      <c r="A336" s="37">
        <v>330</v>
      </c>
      <c r="B336" s="35" t="s">
        <v>550</v>
      </c>
      <c r="C336" s="13"/>
      <c r="D336" s="38">
        <v>1467</v>
      </c>
    </row>
    <row r="337" spans="1:4" x14ac:dyDescent="0.35">
      <c r="A337" s="37">
        <v>331</v>
      </c>
      <c r="B337" s="35" t="s">
        <v>551</v>
      </c>
      <c r="C337" s="38">
        <v>5</v>
      </c>
      <c r="D337" s="13"/>
    </row>
    <row r="338" spans="1:4" x14ac:dyDescent="0.35">
      <c r="A338" s="37">
        <v>332</v>
      </c>
      <c r="B338" s="35" t="s">
        <v>552</v>
      </c>
      <c r="C338" s="38">
        <v>1395</v>
      </c>
      <c r="D338" s="13"/>
    </row>
    <row r="339" spans="1:4" x14ac:dyDescent="0.35">
      <c r="A339" s="37">
        <v>333</v>
      </c>
      <c r="B339" s="35" t="s">
        <v>553</v>
      </c>
      <c r="C339" s="38">
        <v>9849</v>
      </c>
      <c r="D339" s="13"/>
    </row>
    <row r="340" spans="1:4" x14ac:dyDescent="0.35">
      <c r="A340" s="37">
        <v>334</v>
      </c>
      <c r="B340" s="35" t="s">
        <v>554</v>
      </c>
      <c r="C340" s="38">
        <v>9283</v>
      </c>
      <c r="D340" s="13"/>
    </row>
    <row r="341" spans="1:4" x14ac:dyDescent="0.35">
      <c r="A341" s="37">
        <v>335</v>
      </c>
      <c r="B341" s="35" t="s">
        <v>555</v>
      </c>
      <c r="C341" s="38">
        <v>1611</v>
      </c>
      <c r="D341" s="13"/>
    </row>
    <row r="342" spans="1:4" x14ac:dyDescent="0.35">
      <c r="A342" s="37">
        <v>336</v>
      </c>
      <c r="B342" s="35" t="s">
        <v>556</v>
      </c>
      <c r="C342" s="38">
        <v>7685</v>
      </c>
      <c r="D342" s="13"/>
    </row>
    <row r="343" spans="1:4" x14ac:dyDescent="0.35">
      <c r="A343" s="37">
        <v>337</v>
      </c>
      <c r="B343" s="35" t="s">
        <v>557</v>
      </c>
      <c r="C343" s="13"/>
      <c r="D343" s="38">
        <v>40</v>
      </c>
    </row>
    <row r="344" spans="1:4" x14ac:dyDescent="0.35">
      <c r="A344" s="37">
        <v>338</v>
      </c>
      <c r="B344" s="35" t="s">
        <v>558</v>
      </c>
      <c r="C344" s="38">
        <v>16313</v>
      </c>
      <c r="D344" s="13"/>
    </row>
    <row r="345" spans="1:4" x14ac:dyDescent="0.35">
      <c r="A345" s="37">
        <v>339</v>
      </c>
      <c r="B345" s="35" t="s">
        <v>559</v>
      </c>
      <c r="C345" s="38">
        <v>13625</v>
      </c>
      <c r="D345" s="13"/>
    </row>
    <row r="346" spans="1:4" x14ac:dyDescent="0.35">
      <c r="A346" s="37">
        <v>340</v>
      </c>
      <c r="B346" s="35" t="s">
        <v>560</v>
      </c>
      <c r="C346" s="13"/>
      <c r="D346" s="38">
        <v>16165</v>
      </c>
    </row>
    <row r="347" spans="1:4" x14ac:dyDescent="0.35">
      <c r="A347" s="37">
        <v>341</v>
      </c>
      <c r="B347" s="35" t="s">
        <v>561</v>
      </c>
      <c r="C347" s="38">
        <v>25501</v>
      </c>
      <c r="D347" s="13"/>
    </row>
    <row r="348" spans="1:4" x14ac:dyDescent="0.35">
      <c r="A348" s="37">
        <v>342</v>
      </c>
      <c r="B348" s="35" t="s">
        <v>562</v>
      </c>
      <c r="C348" s="38">
        <v>13282</v>
      </c>
      <c r="D348" s="13"/>
    </row>
    <row r="349" spans="1:4" x14ac:dyDescent="0.35">
      <c r="A349" s="37">
        <v>343</v>
      </c>
      <c r="B349" s="35" t="s">
        <v>563</v>
      </c>
      <c r="C349" s="38">
        <v>40842</v>
      </c>
      <c r="D349" s="13"/>
    </row>
    <row r="350" spans="1:4" x14ac:dyDescent="0.35">
      <c r="A350" s="37">
        <v>344</v>
      </c>
      <c r="B350" s="35" t="s">
        <v>564</v>
      </c>
      <c r="C350" s="13"/>
      <c r="D350" s="38">
        <v>100</v>
      </c>
    </row>
    <row r="351" spans="1:4" x14ac:dyDescent="0.35">
      <c r="A351" s="37">
        <v>345</v>
      </c>
      <c r="B351" s="35" t="s">
        <v>565</v>
      </c>
      <c r="C351" s="38">
        <v>200</v>
      </c>
      <c r="D351" s="13"/>
    </row>
    <row r="352" spans="1:4" x14ac:dyDescent="0.35">
      <c r="A352" s="37">
        <v>346</v>
      </c>
      <c r="B352" s="35" t="s">
        <v>566</v>
      </c>
      <c r="C352" s="38">
        <v>1625</v>
      </c>
      <c r="D352" s="13"/>
    </row>
    <row r="353" spans="1:4" x14ac:dyDescent="0.35">
      <c r="A353" s="37">
        <v>347</v>
      </c>
      <c r="B353" s="35" t="s">
        <v>567</v>
      </c>
      <c r="C353" s="38">
        <v>2224</v>
      </c>
      <c r="D353" s="13"/>
    </row>
    <row r="354" spans="1:4" x14ac:dyDescent="0.35">
      <c r="A354" s="37">
        <v>348</v>
      </c>
      <c r="B354" s="35" t="s">
        <v>568</v>
      </c>
      <c r="C354" s="13"/>
      <c r="D354" s="38">
        <v>1138</v>
      </c>
    </row>
    <row r="355" spans="1:4" x14ac:dyDescent="0.35">
      <c r="A355" s="37">
        <v>349</v>
      </c>
      <c r="B355" s="35" t="s">
        <v>569</v>
      </c>
      <c r="C355" s="38">
        <v>1341</v>
      </c>
      <c r="D355" s="13"/>
    </row>
    <row r="356" spans="1:4" x14ac:dyDescent="0.35">
      <c r="A356" s="37">
        <v>350</v>
      </c>
      <c r="B356" s="35" t="s">
        <v>570</v>
      </c>
      <c r="C356" s="38">
        <v>14039</v>
      </c>
      <c r="D356" s="13"/>
    </row>
    <row r="357" spans="1:4" x14ac:dyDescent="0.35">
      <c r="A357" s="37">
        <v>351</v>
      </c>
      <c r="B357" s="35" t="s">
        <v>571</v>
      </c>
      <c r="C357" s="13"/>
      <c r="D357" s="38">
        <v>165</v>
      </c>
    </row>
    <row r="358" spans="1:4" x14ac:dyDescent="0.35">
      <c r="A358" s="37">
        <v>352</v>
      </c>
      <c r="B358" s="35" t="s">
        <v>572</v>
      </c>
      <c r="C358" s="13"/>
      <c r="D358" s="38">
        <v>35</v>
      </c>
    </row>
    <row r="359" spans="1:4" x14ac:dyDescent="0.35">
      <c r="A359" s="37">
        <v>353</v>
      </c>
      <c r="B359" s="35" t="s">
        <v>573</v>
      </c>
      <c r="C359" s="38">
        <v>25431</v>
      </c>
      <c r="D359" s="13"/>
    </row>
    <row r="360" spans="1:4" x14ac:dyDescent="0.35">
      <c r="A360" s="37">
        <v>354</v>
      </c>
      <c r="B360" s="35" t="s">
        <v>574</v>
      </c>
      <c r="C360" s="13"/>
      <c r="D360" s="38">
        <v>1</v>
      </c>
    </row>
    <row r="361" spans="1:4" x14ac:dyDescent="0.35">
      <c r="A361" s="37">
        <v>355</v>
      </c>
      <c r="B361" s="35" t="s">
        <v>575</v>
      </c>
      <c r="C361" s="38">
        <v>7886</v>
      </c>
      <c r="D361" s="13"/>
    </row>
    <row r="362" spans="1:4" x14ac:dyDescent="0.35">
      <c r="A362" s="37">
        <v>356</v>
      </c>
      <c r="B362" s="35" t="s">
        <v>576</v>
      </c>
      <c r="C362" s="13"/>
      <c r="D362" s="38">
        <v>31</v>
      </c>
    </row>
    <row r="363" spans="1:4" x14ac:dyDescent="0.35">
      <c r="A363" s="37">
        <v>357</v>
      </c>
      <c r="B363" s="35" t="s">
        <v>577</v>
      </c>
      <c r="C363" s="13"/>
      <c r="D363" s="38">
        <v>1</v>
      </c>
    </row>
    <row r="364" spans="1:4" x14ac:dyDescent="0.35">
      <c r="A364" s="37">
        <v>358</v>
      </c>
      <c r="B364" s="35" t="s">
        <v>578</v>
      </c>
      <c r="C364" s="38">
        <v>33645</v>
      </c>
      <c r="D364" s="13"/>
    </row>
    <row r="365" spans="1:4" x14ac:dyDescent="0.35">
      <c r="A365" s="37">
        <v>359</v>
      </c>
      <c r="B365" s="35" t="s">
        <v>579</v>
      </c>
      <c r="C365" s="13"/>
      <c r="D365" s="38">
        <v>17100</v>
      </c>
    </row>
    <row r="366" spans="1:4" x14ac:dyDescent="0.35">
      <c r="A366" s="37">
        <v>360</v>
      </c>
      <c r="B366" s="35" t="s">
        <v>580</v>
      </c>
      <c r="C366" s="38">
        <v>1164</v>
      </c>
      <c r="D366" s="13"/>
    </row>
    <row r="367" spans="1:4" x14ac:dyDescent="0.35">
      <c r="A367" s="37">
        <v>361</v>
      </c>
      <c r="B367" s="35" t="s">
        <v>581</v>
      </c>
      <c r="C367" s="13"/>
      <c r="D367" s="38">
        <v>180</v>
      </c>
    </row>
    <row r="368" spans="1:4" x14ac:dyDescent="0.35">
      <c r="A368" s="37">
        <v>362</v>
      </c>
      <c r="B368" s="35" t="s">
        <v>582</v>
      </c>
      <c r="C368" s="38">
        <v>14306</v>
      </c>
      <c r="D368" s="13"/>
    </row>
    <row r="369" spans="1:4" x14ac:dyDescent="0.35">
      <c r="A369" s="37">
        <v>363</v>
      </c>
      <c r="B369" s="35" t="s">
        <v>583</v>
      </c>
      <c r="C369" s="38">
        <v>4433</v>
      </c>
      <c r="D369" s="13"/>
    </row>
    <row r="370" spans="1:4" x14ac:dyDescent="0.35">
      <c r="A370" s="37">
        <v>364</v>
      </c>
      <c r="B370" s="35" t="s">
        <v>584</v>
      </c>
      <c r="C370" s="38">
        <v>567</v>
      </c>
      <c r="D370" s="13"/>
    </row>
    <row r="371" spans="1:4" x14ac:dyDescent="0.35">
      <c r="A371" s="37">
        <v>365</v>
      </c>
      <c r="B371" s="35" t="s">
        <v>585</v>
      </c>
      <c r="C371" s="13"/>
      <c r="D371" s="38">
        <v>5</v>
      </c>
    </row>
    <row r="372" spans="1:4" x14ac:dyDescent="0.35">
      <c r="A372" s="37">
        <v>366</v>
      </c>
      <c r="B372" s="35" t="s">
        <v>586</v>
      </c>
      <c r="C372" s="38">
        <v>49754</v>
      </c>
      <c r="D372" s="13"/>
    </row>
    <row r="373" spans="1:4" x14ac:dyDescent="0.35">
      <c r="A373" s="37">
        <v>367</v>
      </c>
      <c r="B373" s="35" t="s">
        <v>587</v>
      </c>
      <c r="C373" s="13"/>
      <c r="D373" s="38">
        <v>2321</v>
      </c>
    </row>
    <row r="374" spans="1:4" x14ac:dyDescent="0.35">
      <c r="A374" s="37">
        <v>368</v>
      </c>
      <c r="B374" s="35" t="s">
        <v>588</v>
      </c>
      <c r="C374" s="13"/>
      <c r="D374" s="38">
        <v>2</v>
      </c>
    </row>
    <row r="375" spans="1:4" x14ac:dyDescent="0.35">
      <c r="A375" s="37">
        <v>369</v>
      </c>
      <c r="B375" s="35" t="s">
        <v>589</v>
      </c>
      <c r="C375" s="38">
        <v>1834</v>
      </c>
      <c r="D375" s="13"/>
    </row>
    <row r="376" spans="1:4" x14ac:dyDescent="0.35">
      <c r="A376" s="37">
        <v>370</v>
      </c>
      <c r="B376" s="35" t="s">
        <v>590</v>
      </c>
      <c r="C376" s="38">
        <v>500</v>
      </c>
      <c r="D376" s="13"/>
    </row>
    <row r="377" spans="1:4" x14ac:dyDescent="0.35">
      <c r="A377" s="37">
        <v>371</v>
      </c>
      <c r="B377" s="35" t="s">
        <v>591</v>
      </c>
      <c r="C377" s="38">
        <v>24909</v>
      </c>
      <c r="D377" s="13"/>
    </row>
    <row r="378" spans="1:4" x14ac:dyDescent="0.35">
      <c r="A378" s="37">
        <v>372</v>
      </c>
      <c r="B378" s="35" t="s">
        <v>592</v>
      </c>
      <c r="C378" s="13"/>
      <c r="D378" s="38">
        <v>3</v>
      </c>
    </row>
    <row r="379" spans="1:4" x14ac:dyDescent="0.35">
      <c r="A379" s="37">
        <v>373</v>
      </c>
      <c r="B379" s="35" t="s">
        <v>593</v>
      </c>
      <c r="C379" s="38">
        <v>50324</v>
      </c>
      <c r="D379" s="13"/>
    </row>
    <row r="380" spans="1:4" x14ac:dyDescent="0.35">
      <c r="A380" s="37">
        <v>374</v>
      </c>
      <c r="B380" s="35" t="s">
        <v>594</v>
      </c>
      <c r="C380" s="13"/>
      <c r="D380" s="38">
        <v>1</v>
      </c>
    </row>
    <row r="381" spans="1:4" x14ac:dyDescent="0.35">
      <c r="A381" s="37">
        <v>375</v>
      </c>
      <c r="B381" s="35" t="s">
        <v>595</v>
      </c>
      <c r="C381" s="38">
        <v>300</v>
      </c>
      <c r="D381" s="13"/>
    </row>
    <row r="382" spans="1:4" x14ac:dyDescent="0.35">
      <c r="A382" s="37">
        <v>376</v>
      </c>
      <c r="B382" s="35" t="s">
        <v>596</v>
      </c>
      <c r="C382" s="13"/>
      <c r="D382" s="38">
        <v>102</v>
      </c>
    </row>
    <row r="383" spans="1:4" x14ac:dyDescent="0.35">
      <c r="A383" s="37">
        <v>377</v>
      </c>
      <c r="B383" s="35" t="s">
        <v>597</v>
      </c>
      <c r="C383" s="38">
        <v>21</v>
      </c>
      <c r="D383" s="13"/>
    </row>
    <row r="384" spans="1:4" x14ac:dyDescent="0.35">
      <c r="A384" s="37">
        <v>378</v>
      </c>
      <c r="B384" s="35" t="s">
        <v>598</v>
      </c>
      <c r="C384" s="38">
        <v>350</v>
      </c>
      <c r="D384" s="13"/>
    </row>
    <row r="385" spans="1:4" x14ac:dyDescent="0.35">
      <c r="A385" s="37">
        <v>379</v>
      </c>
      <c r="B385" s="35" t="s">
        <v>599</v>
      </c>
      <c r="C385" s="38">
        <v>750</v>
      </c>
      <c r="D385" s="13"/>
    </row>
    <row r="386" spans="1:4" x14ac:dyDescent="0.35">
      <c r="A386" s="37">
        <v>380</v>
      </c>
      <c r="B386" s="35" t="s">
        <v>600</v>
      </c>
      <c r="C386" s="38">
        <v>107091</v>
      </c>
      <c r="D386" s="13"/>
    </row>
    <row r="387" spans="1:4" x14ac:dyDescent="0.35">
      <c r="A387" s="37">
        <v>381</v>
      </c>
      <c r="B387" s="35" t="s">
        <v>601</v>
      </c>
      <c r="C387" s="38">
        <v>7708</v>
      </c>
      <c r="D387" s="13"/>
    </row>
    <row r="388" spans="1:4" x14ac:dyDescent="0.35">
      <c r="A388" s="37">
        <v>382</v>
      </c>
      <c r="B388" s="35" t="s">
        <v>602</v>
      </c>
      <c r="C388" s="38">
        <v>7534</v>
      </c>
      <c r="D388" s="13"/>
    </row>
    <row r="389" spans="1:4" x14ac:dyDescent="0.35">
      <c r="A389" s="37">
        <v>383</v>
      </c>
      <c r="B389" s="35" t="s">
        <v>603</v>
      </c>
      <c r="C389" s="38">
        <v>14607</v>
      </c>
      <c r="D389" s="13"/>
    </row>
    <row r="390" spans="1:4" x14ac:dyDescent="0.35">
      <c r="A390" s="37">
        <v>384</v>
      </c>
      <c r="B390" s="35" t="s">
        <v>604</v>
      </c>
      <c r="C390" s="13"/>
      <c r="D390" s="38">
        <v>120</v>
      </c>
    </row>
    <row r="391" spans="1:4" x14ac:dyDescent="0.35">
      <c r="A391" s="37">
        <v>385</v>
      </c>
      <c r="B391" s="35" t="s">
        <v>605</v>
      </c>
      <c r="C391" s="13"/>
      <c r="D391" s="38">
        <v>2442.41</v>
      </c>
    </row>
    <row r="392" spans="1:4" x14ac:dyDescent="0.35">
      <c r="A392" s="37">
        <v>386</v>
      </c>
      <c r="B392" s="35" t="s">
        <v>606</v>
      </c>
      <c r="C392" s="13"/>
      <c r="D392" s="38">
        <v>600</v>
      </c>
    </row>
    <row r="393" spans="1:4" x14ac:dyDescent="0.35">
      <c r="A393" s="37">
        <v>387</v>
      </c>
      <c r="B393" s="35" t="s">
        <v>607</v>
      </c>
      <c r="C393" s="13"/>
      <c r="D393" s="38">
        <v>3</v>
      </c>
    </row>
    <row r="394" spans="1:4" x14ac:dyDescent="0.35">
      <c r="A394" s="37">
        <v>388</v>
      </c>
      <c r="B394" s="35" t="s">
        <v>608</v>
      </c>
      <c r="C394" s="13"/>
      <c r="D394" s="38">
        <v>225</v>
      </c>
    </row>
    <row r="395" spans="1:4" x14ac:dyDescent="0.35">
      <c r="A395" s="37">
        <v>389</v>
      </c>
      <c r="B395" s="35" t="s">
        <v>609</v>
      </c>
      <c r="C395" s="38">
        <v>1290</v>
      </c>
      <c r="D395" s="13"/>
    </row>
    <row r="396" spans="1:4" x14ac:dyDescent="0.35">
      <c r="A396" s="37">
        <v>390</v>
      </c>
      <c r="B396" s="35" t="s">
        <v>610</v>
      </c>
      <c r="C396" s="38">
        <v>4000</v>
      </c>
      <c r="D396" s="13"/>
    </row>
    <row r="397" spans="1:4" x14ac:dyDescent="0.35">
      <c r="A397" s="37">
        <v>391</v>
      </c>
      <c r="B397" s="35" t="s">
        <v>611</v>
      </c>
      <c r="C397" s="38">
        <v>963</v>
      </c>
      <c r="D397" s="13"/>
    </row>
    <row r="398" spans="1:4" x14ac:dyDescent="0.35">
      <c r="A398" s="37">
        <v>392</v>
      </c>
      <c r="B398" s="35" t="s">
        <v>612</v>
      </c>
      <c r="C398" s="38">
        <v>3041</v>
      </c>
      <c r="D398" s="13"/>
    </row>
    <row r="399" spans="1:4" x14ac:dyDescent="0.35">
      <c r="A399" s="37">
        <v>393</v>
      </c>
      <c r="B399" s="35" t="s">
        <v>613</v>
      </c>
      <c r="C399" s="38">
        <v>202</v>
      </c>
      <c r="D399" s="13"/>
    </row>
    <row r="400" spans="1:4" x14ac:dyDescent="0.35">
      <c r="A400" s="37">
        <v>394</v>
      </c>
      <c r="B400" s="35" t="s">
        <v>614</v>
      </c>
      <c r="C400" s="38">
        <v>7146</v>
      </c>
      <c r="D400" s="13"/>
    </row>
    <row r="401" spans="1:4" x14ac:dyDescent="0.35">
      <c r="A401" s="37">
        <v>395</v>
      </c>
      <c r="B401" s="35" t="s">
        <v>615</v>
      </c>
      <c r="C401" s="13"/>
      <c r="D401" s="38">
        <v>0.15</v>
      </c>
    </row>
    <row r="402" spans="1:4" x14ac:dyDescent="0.35">
      <c r="A402" s="37">
        <v>396</v>
      </c>
      <c r="B402" s="35" t="s">
        <v>616</v>
      </c>
      <c r="C402" s="13"/>
      <c r="D402" s="38">
        <v>121</v>
      </c>
    </row>
    <row r="403" spans="1:4" x14ac:dyDescent="0.35">
      <c r="A403" s="37">
        <v>397</v>
      </c>
      <c r="B403" s="35" t="s">
        <v>617</v>
      </c>
      <c r="C403" s="13"/>
      <c r="D403" s="38">
        <v>1</v>
      </c>
    </row>
    <row r="404" spans="1:4" x14ac:dyDescent="0.35">
      <c r="A404" s="37">
        <v>398</v>
      </c>
      <c r="B404" s="35" t="s">
        <v>618</v>
      </c>
      <c r="C404" s="13"/>
      <c r="D404" s="38">
        <v>19</v>
      </c>
    </row>
    <row r="405" spans="1:4" x14ac:dyDescent="0.35">
      <c r="A405" s="37">
        <v>399</v>
      </c>
      <c r="B405" s="35" t="s">
        <v>619</v>
      </c>
      <c r="C405" s="38">
        <v>4034</v>
      </c>
      <c r="D405" s="13"/>
    </row>
    <row r="406" spans="1:4" x14ac:dyDescent="0.35">
      <c r="A406" s="37">
        <v>400</v>
      </c>
      <c r="B406" s="35" t="s">
        <v>620</v>
      </c>
      <c r="C406" s="38">
        <v>2950</v>
      </c>
      <c r="D406" s="13"/>
    </row>
    <row r="407" spans="1:4" x14ac:dyDescent="0.35">
      <c r="A407" s="37">
        <v>401</v>
      </c>
      <c r="B407" s="35" t="s">
        <v>621</v>
      </c>
      <c r="C407" s="38">
        <v>5144</v>
      </c>
      <c r="D407" s="13"/>
    </row>
    <row r="408" spans="1:4" x14ac:dyDescent="0.35">
      <c r="A408" s="37">
        <v>402</v>
      </c>
      <c r="B408" s="35" t="s">
        <v>622</v>
      </c>
      <c r="C408" s="38">
        <v>236</v>
      </c>
      <c r="D408" s="13"/>
    </row>
    <row r="409" spans="1:4" x14ac:dyDescent="0.35">
      <c r="A409" s="37">
        <v>403</v>
      </c>
      <c r="B409" s="35" t="s">
        <v>623</v>
      </c>
      <c r="C409" s="13"/>
      <c r="D409" s="38">
        <v>3594</v>
      </c>
    </row>
    <row r="410" spans="1:4" x14ac:dyDescent="0.35">
      <c r="A410" s="37">
        <v>404</v>
      </c>
      <c r="B410" s="35" t="s">
        <v>624</v>
      </c>
      <c r="C410" s="38">
        <v>10051</v>
      </c>
      <c r="D410" s="13"/>
    </row>
    <row r="411" spans="1:4" x14ac:dyDescent="0.35">
      <c r="A411" s="37">
        <v>405</v>
      </c>
      <c r="B411" s="35" t="s">
        <v>625</v>
      </c>
      <c r="C411" s="13"/>
      <c r="D411" s="38">
        <v>932</v>
      </c>
    </row>
    <row r="412" spans="1:4" x14ac:dyDescent="0.35">
      <c r="A412" s="37">
        <v>406</v>
      </c>
      <c r="B412" s="35" t="s">
        <v>626</v>
      </c>
      <c r="C412" s="13"/>
      <c r="D412" s="38">
        <v>1</v>
      </c>
    </row>
    <row r="413" spans="1:4" x14ac:dyDescent="0.35">
      <c r="A413" s="37">
        <v>407</v>
      </c>
      <c r="B413" s="35" t="s">
        <v>627</v>
      </c>
      <c r="C413" s="38">
        <v>29771</v>
      </c>
      <c r="D413" s="13"/>
    </row>
    <row r="414" spans="1:4" x14ac:dyDescent="0.35">
      <c r="A414" s="37">
        <v>408</v>
      </c>
      <c r="B414" s="35" t="s">
        <v>628</v>
      </c>
      <c r="C414" s="38">
        <v>1537</v>
      </c>
      <c r="D414" s="13"/>
    </row>
    <row r="415" spans="1:4" x14ac:dyDescent="0.35">
      <c r="A415" s="37">
        <v>409</v>
      </c>
      <c r="B415" s="35" t="s">
        <v>629</v>
      </c>
      <c r="C415" s="13"/>
      <c r="D415" s="38">
        <v>1</v>
      </c>
    </row>
    <row r="416" spans="1:4" x14ac:dyDescent="0.35">
      <c r="A416" s="37">
        <v>410</v>
      </c>
      <c r="B416" s="35" t="s">
        <v>630</v>
      </c>
      <c r="C416" s="13"/>
      <c r="D416" s="38">
        <v>1111</v>
      </c>
    </row>
    <row r="417" spans="1:4" x14ac:dyDescent="0.35">
      <c r="A417" s="37">
        <v>411</v>
      </c>
      <c r="B417" s="35" t="s">
        <v>631</v>
      </c>
      <c r="C417" s="38">
        <v>73</v>
      </c>
      <c r="D417" s="13"/>
    </row>
    <row r="418" spans="1:4" x14ac:dyDescent="0.35">
      <c r="A418" s="37">
        <v>412</v>
      </c>
      <c r="B418" s="35" t="s">
        <v>632</v>
      </c>
      <c r="C418" s="13"/>
      <c r="D418" s="38">
        <v>75</v>
      </c>
    </row>
    <row r="419" spans="1:4" x14ac:dyDescent="0.35">
      <c r="A419" s="37">
        <v>413</v>
      </c>
      <c r="B419" s="35" t="s">
        <v>633</v>
      </c>
      <c r="C419" s="38">
        <v>1008</v>
      </c>
      <c r="D419" s="13"/>
    </row>
    <row r="420" spans="1:4" x14ac:dyDescent="0.35">
      <c r="A420" s="37">
        <v>414</v>
      </c>
      <c r="B420" s="35" t="s">
        <v>634</v>
      </c>
      <c r="C420" s="38">
        <v>146</v>
      </c>
      <c r="D420" s="13"/>
    </row>
    <row r="421" spans="1:4" x14ac:dyDescent="0.35">
      <c r="A421" s="37">
        <v>415</v>
      </c>
      <c r="B421" s="35" t="s">
        <v>635</v>
      </c>
      <c r="C421" s="38">
        <v>30974</v>
      </c>
      <c r="D421" s="13"/>
    </row>
    <row r="422" spans="1:4" x14ac:dyDescent="0.35">
      <c r="A422" s="37">
        <v>416</v>
      </c>
      <c r="B422" s="35" t="s">
        <v>636</v>
      </c>
      <c r="C422" s="38">
        <v>20376</v>
      </c>
      <c r="D422" s="13"/>
    </row>
    <row r="423" spans="1:4" x14ac:dyDescent="0.35">
      <c r="A423" s="37">
        <v>417</v>
      </c>
      <c r="B423" s="35" t="s">
        <v>637</v>
      </c>
      <c r="C423" s="38">
        <v>11800</v>
      </c>
      <c r="D423" s="13"/>
    </row>
    <row r="424" spans="1:4" x14ac:dyDescent="0.35">
      <c r="A424" s="37">
        <v>418</v>
      </c>
      <c r="B424" s="35" t="s">
        <v>638</v>
      </c>
      <c r="C424" s="38">
        <v>325687</v>
      </c>
      <c r="D424" s="13"/>
    </row>
    <row r="425" spans="1:4" x14ac:dyDescent="0.35">
      <c r="A425" s="37">
        <v>419</v>
      </c>
      <c r="B425" s="35" t="s">
        <v>639</v>
      </c>
      <c r="C425" s="38">
        <v>34978</v>
      </c>
      <c r="D425" s="13"/>
    </row>
    <row r="426" spans="1:4" x14ac:dyDescent="0.35">
      <c r="A426" s="37">
        <v>420</v>
      </c>
      <c r="B426" s="35" t="s">
        <v>640</v>
      </c>
      <c r="C426" s="38">
        <v>44297</v>
      </c>
      <c r="D426" s="13"/>
    </row>
    <row r="427" spans="1:4" x14ac:dyDescent="0.35">
      <c r="A427" s="37">
        <v>421</v>
      </c>
      <c r="B427" s="35" t="s">
        <v>641</v>
      </c>
      <c r="C427" s="13"/>
      <c r="D427" s="38">
        <v>1676</v>
      </c>
    </row>
    <row r="428" spans="1:4" x14ac:dyDescent="0.35">
      <c r="A428" s="37">
        <v>422</v>
      </c>
      <c r="B428" s="35" t="s">
        <v>642</v>
      </c>
      <c r="C428" s="38">
        <v>1</v>
      </c>
      <c r="D428" s="13"/>
    </row>
    <row r="429" spans="1:4" x14ac:dyDescent="0.35">
      <c r="A429" s="37">
        <v>423</v>
      </c>
      <c r="B429" s="35" t="s">
        <v>643</v>
      </c>
      <c r="C429" s="38">
        <v>277126</v>
      </c>
      <c r="D429" s="13"/>
    </row>
    <row r="430" spans="1:4" x14ac:dyDescent="0.35">
      <c r="A430" s="37">
        <v>424</v>
      </c>
      <c r="B430" s="35" t="s">
        <v>644</v>
      </c>
      <c r="C430" s="38">
        <v>53893</v>
      </c>
      <c r="D430" s="13"/>
    </row>
    <row r="431" spans="1:4" x14ac:dyDescent="0.35">
      <c r="A431" s="37">
        <v>425</v>
      </c>
      <c r="B431" s="35" t="s">
        <v>645</v>
      </c>
      <c r="C431" s="38">
        <v>32566</v>
      </c>
      <c r="D431" s="13"/>
    </row>
    <row r="432" spans="1:4" x14ac:dyDescent="0.35">
      <c r="A432" s="37">
        <v>426</v>
      </c>
      <c r="B432" s="35" t="s">
        <v>646</v>
      </c>
      <c r="C432" s="38">
        <v>829522</v>
      </c>
      <c r="D432" s="13"/>
    </row>
    <row r="433" spans="1:4" x14ac:dyDescent="0.35">
      <c r="A433" s="37">
        <v>427</v>
      </c>
      <c r="B433" s="35" t="s">
        <v>647</v>
      </c>
      <c r="C433" s="38">
        <v>46412</v>
      </c>
      <c r="D433" s="13"/>
    </row>
    <row r="434" spans="1:4" x14ac:dyDescent="0.35">
      <c r="A434" s="37">
        <v>428</v>
      </c>
      <c r="B434" s="35" t="s">
        <v>648</v>
      </c>
      <c r="C434" s="13"/>
      <c r="D434" s="38">
        <v>902</v>
      </c>
    </row>
    <row r="435" spans="1:4" x14ac:dyDescent="0.35">
      <c r="A435" s="37">
        <v>429</v>
      </c>
      <c r="B435" s="35" t="s">
        <v>649</v>
      </c>
      <c r="C435" s="38">
        <v>163800</v>
      </c>
      <c r="D435" s="13"/>
    </row>
    <row r="436" spans="1:4" x14ac:dyDescent="0.35">
      <c r="A436" s="37">
        <v>430</v>
      </c>
      <c r="B436" s="35" t="s">
        <v>650</v>
      </c>
      <c r="C436" s="38">
        <v>9093</v>
      </c>
      <c r="D436" s="13"/>
    </row>
    <row r="437" spans="1:4" x14ac:dyDescent="0.35">
      <c r="A437" s="37">
        <v>431</v>
      </c>
      <c r="B437" s="35" t="s">
        <v>651</v>
      </c>
      <c r="C437" s="38">
        <v>2003</v>
      </c>
      <c r="D437" s="13"/>
    </row>
    <row r="438" spans="1:4" x14ac:dyDescent="0.35">
      <c r="A438" s="37">
        <v>432</v>
      </c>
      <c r="B438" s="35" t="s">
        <v>652</v>
      </c>
      <c r="C438" s="38">
        <v>91547</v>
      </c>
      <c r="D438" s="13"/>
    </row>
    <row r="439" spans="1:4" x14ac:dyDescent="0.35">
      <c r="A439" s="37">
        <v>433</v>
      </c>
      <c r="B439" s="35" t="s">
        <v>653</v>
      </c>
      <c r="C439" s="38">
        <v>126946</v>
      </c>
      <c r="D439" s="13"/>
    </row>
    <row r="440" spans="1:4" x14ac:dyDescent="0.35">
      <c r="A440" s="37">
        <v>434</v>
      </c>
      <c r="B440" s="35" t="s">
        <v>654</v>
      </c>
      <c r="C440" s="38">
        <v>1009040</v>
      </c>
      <c r="D440" s="13"/>
    </row>
    <row r="441" spans="1:4" x14ac:dyDescent="0.35">
      <c r="A441" s="37">
        <v>435</v>
      </c>
      <c r="B441" s="35" t="s">
        <v>655</v>
      </c>
      <c r="C441" s="38">
        <v>15371</v>
      </c>
      <c r="D441" s="13"/>
    </row>
    <row r="442" spans="1:4" x14ac:dyDescent="0.35">
      <c r="A442" s="37">
        <v>436</v>
      </c>
      <c r="B442" s="35" t="s">
        <v>656</v>
      </c>
      <c r="C442" s="38">
        <v>21933</v>
      </c>
      <c r="D442" s="13"/>
    </row>
    <row r="443" spans="1:4" x14ac:dyDescent="0.35">
      <c r="A443" s="37">
        <v>437</v>
      </c>
      <c r="B443" s="35" t="s">
        <v>657</v>
      </c>
      <c r="C443" s="13"/>
      <c r="D443" s="38">
        <v>3456</v>
      </c>
    </row>
    <row r="444" spans="1:4" x14ac:dyDescent="0.35">
      <c r="A444" s="37">
        <v>438</v>
      </c>
      <c r="B444" s="35" t="s">
        <v>658</v>
      </c>
      <c r="C444" s="13"/>
      <c r="D444" s="38">
        <v>11800</v>
      </c>
    </row>
    <row r="445" spans="1:4" x14ac:dyDescent="0.35">
      <c r="A445" s="37">
        <v>439</v>
      </c>
      <c r="B445" s="35" t="s">
        <v>659</v>
      </c>
      <c r="C445" s="38">
        <v>163437</v>
      </c>
      <c r="D445" s="13"/>
    </row>
    <row r="446" spans="1:4" x14ac:dyDescent="0.35">
      <c r="A446" s="37">
        <v>440</v>
      </c>
      <c r="B446" s="35" t="s">
        <v>660</v>
      </c>
      <c r="C446" s="38">
        <v>61812</v>
      </c>
      <c r="D446" s="13"/>
    </row>
    <row r="447" spans="1:4" x14ac:dyDescent="0.35">
      <c r="A447" s="37">
        <v>441</v>
      </c>
      <c r="B447" s="35" t="s">
        <v>661</v>
      </c>
      <c r="C447" s="38">
        <v>15749</v>
      </c>
      <c r="D447" s="13"/>
    </row>
    <row r="448" spans="1:4" x14ac:dyDescent="0.35">
      <c r="A448" s="37">
        <v>442</v>
      </c>
      <c r="B448" s="35" t="s">
        <v>662</v>
      </c>
      <c r="C448" s="38">
        <v>26640</v>
      </c>
      <c r="D448" s="13"/>
    </row>
    <row r="449" spans="1:4" x14ac:dyDescent="0.35">
      <c r="A449" s="37">
        <v>443</v>
      </c>
      <c r="B449" s="35" t="s">
        <v>663</v>
      </c>
      <c r="C449" s="38">
        <v>28608</v>
      </c>
      <c r="D449" s="13"/>
    </row>
    <row r="450" spans="1:4" x14ac:dyDescent="0.35">
      <c r="A450" s="37">
        <v>444</v>
      </c>
      <c r="B450" s="35" t="s">
        <v>664</v>
      </c>
      <c r="C450" s="13"/>
      <c r="D450" s="38">
        <v>4</v>
      </c>
    </row>
    <row r="451" spans="1:4" x14ac:dyDescent="0.35">
      <c r="A451" s="37">
        <v>445</v>
      </c>
      <c r="B451" s="35" t="s">
        <v>665</v>
      </c>
      <c r="C451" s="38">
        <v>35278</v>
      </c>
      <c r="D451" s="13"/>
    </row>
    <row r="452" spans="1:4" x14ac:dyDescent="0.35">
      <c r="A452" s="37">
        <v>446</v>
      </c>
      <c r="B452" s="35" t="s">
        <v>666</v>
      </c>
      <c r="C452" s="38">
        <v>150110</v>
      </c>
      <c r="D452" s="13"/>
    </row>
    <row r="453" spans="1:4" x14ac:dyDescent="0.35">
      <c r="A453" s="37">
        <v>447</v>
      </c>
      <c r="B453" s="35" t="s">
        <v>667</v>
      </c>
      <c r="C453" s="38">
        <v>111869</v>
      </c>
      <c r="D453" s="13"/>
    </row>
    <row r="454" spans="1:4" x14ac:dyDescent="0.35">
      <c r="A454" s="37">
        <v>448</v>
      </c>
      <c r="B454" s="35" t="s">
        <v>668</v>
      </c>
      <c r="C454" s="38">
        <v>334441</v>
      </c>
      <c r="D454" s="13"/>
    </row>
    <row r="455" spans="1:4" x14ac:dyDescent="0.35">
      <c r="A455" s="37">
        <v>449</v>
      </c>
      <c r="B455" s="35" t="s">
        <v>669</v>
      </c>
      <c r="C455" s="38">
        <v>62376</v>
      </c>
      <c r="D455" s="13"/>
    </row>
    <row r="456" spans="1:4" x14ac:dyDescent="0.35">
      <c r="A456" s="37">
        <v>450</v>
      </c>
      <c r="B456" s="35" t="s">
        <v>670</v>
      </c>
      <c r="C456" s="38">
        <v>17408</v>
      </c>
      <c r="D456" s="13"/>
    </row>
    <row r="457" spans="1:4" x14ac:dyDescent="0.35">
      <c r="A457" s="37">
        <v>451</v>
      </c>
      <c r="B457" s="35" t="s">
        <v>671</v>
      </c>
      <c r="C457" s="38">
        <v>16362</v>
      </c>
      <c r="D457" s="13"/>
    </row>
    <row r="458" spans="1:4" x14ac:dyDescent="0.35">
      <c r="A458" s="37">
        <v>452</v>
      </c>
      <c r="B458" s="35" t="s">
        <v>672</v>
      </c>
      <c r="C458" s="38">
        <v>12818</v>
      </c>
      <c r="D458" s="13"/>
    </row>
    <row r="459" spans="1:4" x14ac:dyDescent="0.35">
      <c r="A459" s="37">
        <v>453</v>
      </c>
      <c r="B459" s="35" t="s">
        <v>673</v>
      </c>
      <c r="C459" s="38">
        <v>4</v>
      </c>
      <c r="D459" s="13"/>
    </row>
    <row r="460" spans="1:4" x14ac:dyDescent="0.35">
      <c r="A460" s="37">
        <v>454</v>
      </c>
      <c r="B460" s="35" t="s">
        <v>674</v>
      </c>
      <c r="C460" s="38">
        <v>30506</v>
      </c>
      <c r="D460" s="13"/>
    </row>
    <row r="461" spans="1:4" x14ac:dyDescent="0.35">
      <c r="A461" s="37">
        <v>455</v>
      </c>
      <c r="B461" s="35" t="s">
        <v>675</v>
      </c>
      <c r="C461" s="13"/>
      <c r="D461" s="38">
        <v>1</v>
      </c>
    </row>
    <row r="462" spans="1:4" x14ac:dyDescent="0.35">
      <c r="A462" s="37">
        <v>456</v>
      </c>
      <c r="B462" s="35" t="s">
        <v>676</v>
      </c>
      <c r="C462" s="13"/>
      <c r="D462" s="38">
        <v>1</v>
      </c>
    </row>
    <row r="463" spans="1:4" x14ac:dyDescent="0.35">
      <c r="A463" s="37">
        <v>457</v>
      </c>
      <c r="B463" s="35" t="s">
        <v>677</v>
      </c>
      <c r="C463" s="13"/>
      <c r="D463" s="38">
        <v>1</v>
      </c>
    </row>
    <row r="464" spans="1:4" x14ac:dyDescent="0.35">
      <c r="A464" s="37">
        <v>458</v>
      </c>
      <c r="B464" s="35" t="s">
        <v>678</v>
      </c>
      <c r="C464" s="38">
        <v>5754</v>
      </c>
      <c r="D464" s="13"/>
    </row>
    <row r="465" spans="1:4" x14ac:dyDescent="0.35">
      <c r="A465" s="37">
        <v>459</v>
      </c>
      <c r="B465" s="35" t="s">
        <v>679</v>
      </c>
      <c r="C465" s="13"/>
      <c r="D465" s="38">
        <v>1</v>
      </c>
    </row>
    <row r="466" spans="1:4" x14ac:dyDescent="0.35">
      <c r="A466" s="37">
        <v>460</v>
      </c>
      <c r="B466" s="35" t="s">
        <v>680</v>
      </c>
      <c r="C466" s="38">
        <v>3892</v>
      </c>
      <c r="D466" s="13"/>
    </row>
    <row r="467" spans="1:4" x14ac:dyDescent="0.35">
      <c r="A467" s="37">
        <v>461</v>
      </c>
      <c r="B467" s="35" t="s">
        <v>681</v>
      </c>
      <c r="C467" s="38">
        <v>1967</v>
      </c>
      <c r="D467" s="13"/>
    </row>
    <row r="468" spans="1:4" x14ac:dyDescent="0.35">
      <c r="A468" s="37">
        <v>462</v>
      </c>
      <c r="B468" s="35" t="s">
        <v>682</v>
      </c>
      <c r="C468" s="38">
        <v>967</v>
      </c>
      <c r="D468" s="13"/>
    </row>
    <row r="469" spans="1:4" x14ac:dyDescent="0.35">
      <c r="A469" s="37">
        <v>463</v>
      </c>
      <c r="B469" s="35" t="s">
        <v>683</v>
      </c>
      <c r="C469" s="38">
        <v>1</v>
      </c>
      <c r="D469" s="13"/>
    </row>
    <row r="470" spans="1:4" x14ac:dyDescent="0.35">
      <c r="A470" s="37">
        <v>464</v>
      </c>
      <c r="B470" s="35" t="s">
        <v>684</v>
      </c>
      <c r="C470" s="13"/>
      <c r="D470" s="38">
        <v>1</v>
      </c>
    </row>
    <row r="471" spans="1:4" x14ac:dyDescent="0.35">
      <c r="A471" s="37">
        <v>465</v>
      </c>
      <c r="B471" s="35" t="s">
        <v>685</v>
      </c>
      <c r="C471" s="13"/>
      <c r="D471" s="38">
        <v>18</v>
      </c>
    </row>
    <row r="472" spans="1:4" x14ac:dyDescent="0.35">
      <c r="A472" s="37">
        <v>466</v>
      </c>
      <c r="B472" s="35" t="s">
        <v>686</v>
      </c>
      <c r="C472" s="38">
        <v>1513</v>
      </c>
      <c r="D472" s="13"/>
    </row>
    <row r="473" spans="1:4" x14ac:dyDescent="0.35">
      <c r="A473" s="37">
        <v>467</v>
      </c>
      <c r="B473" s="35" t="s">
        <v>687</v>
      </c>
      <c r="C473" s="13"/>
      <c r="D473" s="38">
        <v>2</v>
      </c>
    </row>
    <row r="474" spans="1:4" x14ac:dyDescent="0.35">
      <c r="A474" s="37">
        <v>468</v>
      </c>
      <c r="B474" s="35" t="s">
        <v>688</v>
      </c>
      <c r="C474" s="38">
        <v>1179</v>
      </c>
      <c r="D474" s="13"/>
    </row>
    <row r="475" spans="1:4" x14ac:dyDescent="0.35">
      <c r="A475" s="37">
        <v>469</v>
      </c>
      <c r="B475" s="35" t="s">
        <v>689</v>
      </c>
      <c r="C475" s="13"/>
      <c r="D475" s="38">
        <v>497</v>
      </c>
    </row>
    <row r="476" spans="1:4" x14ac:dyDescent="0.35">
      <c r="A476" s="37">
        <v>470</v>
      </c>
      <c r="B476" s="35" t="s">
        <v>690</v>
      </c>
      <c r="C476" s="38">
        <v>19316</v>
      </c>
      <c r="D476" s="13"/>
    </row>
    <row r="477" spans="1:4" x14ac:dyDescent="0.35">
      <c r="A477" s="37">
        <v>471</v>
      </c>
      <c r="B477" s="35" t="s">
        <v>691</v>
      </c>
      <c r="C477" s="13"/>
      <c r="D477" s="38">
        <v>1409</v>
      </c>
    </row>
    <row r="478" spans="1:4" x14ac:dyDescent="0.35">
      <c r="A478" s="37">
        <v>472</v>
      </c>
      <c r="B478" s="35" t="s">
        <v>692</v>
      </c>
      <c r="C478" s="38">
        <v>1200</v>
      </c>
      <c r="D478" s="13"/>
    </row>
    <row r="479" spans="1:4" x14ac:dyDescent="0.35">
      <c r="A479" s="37">
        <v>473</v>
      </c>
      <c r="B479" s="35" t="s">
        <v>693</v>
      </c>
      <c r="C479" s="13"/>
      <c r="D479" s="38">
        <v>86</v>
      </c>
    </row>
    <row r="480" spans="1:4" x14ac:dyDescent="0.35">
      <c r="A480" s="37">
        <v>474</v>
      </c>
      <c r="B480" s="35" t="s">
        <v>694</v>
      </c>
      <c r="C480" s="13"/>
      <c r="D480" s="38">
        <v>7</v>
      </c>
    </row>
    <row r="481" spans="1:4" x14ac:dyDescent="0.35">
      <c r="A481" s="37">
        <v>475</v>
      </c>
      <c r="B481" s="35" t="s">
        <v>695</v>
      </c>
      <c r="C481" s="38">
        <v>325</v>
      </c>
      <c r="D481" s="13"/>
    </row>
    <row r="482" spans="1:4" x14ac:dyDescent="0.35">
      <c r="A482" s="37">
        <v>476</v>
      </c>
      <c r="B482" s="35" t="s">
        <v>696</v>
      </c>
      <c r="C482" s="38">
        <v>10374</v>
      </c>
      <c r="D482" s="13"/>
    </row>
    <row r="483" spans="1:4" x14ac:dyDescent="0.35">
      <c r="A483" s="37">
        <v>477</v>
      </c>
      <c r="B483" s="35" t="s">
        <v>697</v>
      </c>
      <c r="C483" s="13"/>
      <c r="D483" s="38">
        <v>54</v>
      </c>
    </row>
    <row r="484" spans="1:4" x14ac:dyDescent="0.35">
      <c r="A484" s="37">
        <v>478</v>
      </c>
      <c r="B484" s="35" t="s">
        <v>698</v>
      </c>
      <c r="C484" s="13"/>
      <c r="D484" s="38">
        <v>106</v>
      </c>
    </row>
    <row r="485" spans="1:4" x14ac:dyDescent="0.35">
      <c r="A485" s="37">
        <v>479</v>
      </c>
      <c r="B485" s="35" t="s">
        <v>699</v>
      </c>
      <c r="C485" s="13"/>
      <c r="D485" s="38">
        <v>60</v>
      </c>
    </row>
    <row r="486" spans="1:4" x14ac:dyDescent="0.35">
      <c r="A486" s="37">
        <v>480</v>
      </c>
      <c r="B486" s="35" t="s">
        <v>700</v>
      </c>
      <c r="C486" s="38">
        <v>16750</v>
      </c>
      <c r="D486" s="13"/>
    </row>
    <row r="487" spans="1:4" x14ac:dyDescent="0.35">
      <c r="A487" s="37">
        <v>481</v>
      </c>
      <c r="B487" s="35" t="s">
        <v>701</v>
      </c>
      <c r="C487" s="38">
        <v>2511</v>
      </c>
      <c r="D487" s="13"/>
    </row>
    <row r="488" spans="1:4" x14ac:dyDescent="0.35">
      <c r="A488" s="37">
        <v>482</v>
      </c>
      <c r="B488" s="35" t="s">
        <v>702</v>
      </c>
      <c r="C488" s="13"/>
      <c r="D488" s="38">
        <v>100</v>
      </c>
    </row>
    <row r="489" spans="1:4" x14ac:dyDescent="0.35">
      <c r="A489" s="37">
        <v>483</v>
      </c>
      <c r="B489" s="35" t="s">
        <v>703</v>
      </c>
      <c r="C489" s="38">
        <v>12226</v>
      </c>
      <c r="D489" s="13"/>
    </row>
    <row r="490" spans="1:4" x14ac:dyDescent="0.35">
      <c r="A490" s="37">
        <v>484</v>
      </c>
      <c r="B490" s="35" t="s">
        <v>704</v>
      </c>
      <c r="C490" s="13"/>
      <c r="D490" s="38">
        <v>1</v>
      </c>
    </row>
    <row r="491" spans="1:4" x14ac:dyDescent="0.35">
      <c r="A491" s="37">
        <v>485</v>
      </c>
      <c r="B491" s="35" t="s">
        <v>705</v>
      </c>
      <c r="C491" s="13"/>
      <c r="D491" s="38">
        <v>398</v>
      </c>
    </row>
    <row r="492" spans="1:4" x14ac:dyDescent="0.35">
      <c r="A492" s="37">
        <v>486</v>
      </c>
      <c r="B492" s="35" t="s">
        <v>706</v>
      </c>
      <c r="C492" s="13"/>
      <c r="D492" s="38">
        <v>15</v>
      </c>
    </row>
    <row r="493" spans="1:4" x14ac:dyDescent="0.35">
      <c r="A493" s="37">
        <v>487</v>
      </c>
      <c r="B493" s="35" t="s">
        <v>707</v>
      </c>
      <c r="C493" s="13"/>
      <c r="D493" s="38">
        <v>33</v>
      </c>
    </row>
    <row r="494" spans="1:4" x14ac:dyDescent="0.35">
      <c r="A494" s="37">
        <v>488</v>
      </c>
      <c r="B494" s="35" t="s">
        <v>708</v>
      </c>
      <c r="C494" s="13"/>
      <c r="D494" s="38">
        <v>24919</v>
      </c>
    </row>
    <row r="495" spans="1:4" x14ac:dyDescent="0.35">
      <c r="A495" s="37">
        <v>489</v>
      </c>
      <c r="B495" s="35" t="s">
        <v>709</v>
      </c>
      <c r="C495" s="13"/>
      <c r="D495" s="38">
        <v>1</v>
      </c>
    </row>
    <row r="496" spans="1:4" x14ac:dyDescent="0.35">
      <c r="A496" s="37">
        <v>490</v>
      </c>
      <c r="B496" s="35" t="s">
        <v>710</v>
      </c>
      <c r="C496" s="38">
        <v>1896</v>
      </c>
      <c r="D496" s="13"/>
    </row>
    <row r="497" spans="1:4" x14ac:dyDescent="0.35">
      <c r="A497" s="37">
        <v>491</v>
      </c>
      <c r="B497" s="35" t="s">
        <v>711</v>
      </c>
      <c r="C497" s="13"/>
      <c r="D497" s="38">
        <v>1688</v>
      </c>
    </row>
    <row r="498" spans="1:4" x14ac:dyDescent="0.35">
      <c r="A498" s="37">
        <v>492</v>
      </c>
      <c r="B498" s="35" t="s">
        <v>712</v>
      </c>
      <c r="C498" s="38">
        <v>450</v>
      </c>
      <c r="D498" s="13"/>
    </row>
    <row r="499" spans="1:4" x14ac:dyDescent="0.35">
      <c r="A499" s="37">
        <v>493</v>
      </c>
      <c r="B499" s="35" t="s">
        <v>713</v>
      </c>
      <c r="C499" s="38">
        <v>900</v>
      </c>
      <c r="D499" s="13"/>
    </row>
    <row r="500" spans="1:4" x14ac:dyDescent="0.35">
      <c r="A500" s="37">
        <v>494</v>
      </c>
      <c r="B500" s="35" t="s">
        <v>714</v>
      </c>
      <c r="C500" s="38">
        <v>7500</v>
      </c>
      <c r="D500" s="13"/>
    </row>
    <row r="501" spans="1:4" x14ac:dyDescent="0.35">
      <c r="A501" s="37">
        <v>495</v>
      </c>
      <c r="B501" s="35" t="s">
        <v>715</v>
      </c>
      <c r="C501" s="38">
        <v>551</v>
      </c>
      <c r="D501" s="13"/>
    </row>
    <row r="502" spans="1:4" x14ac:dyDescent="0.35">
      <c r="A502" s="37">
        <v>496</v>
      </c>
      <c r="B502" s="35" t="s">
        <v>716</v>
      </c>
      <c r="C502" s="13"/>
      <c r="D502" s="38">
        <v>1</v>
      </c>
    </row>
    <row r="503" spans="1:4" x14ac:dyDescent="0.35">
      <c r="A503" s="37">
        <v>497</v>
      </c>
      <c r="B503" s="35" t="s">
        <v>717</v>
      </c>
      <c r="C503" s="38">
        <v>455</v>
      </c>
      <c r="D503" s="13"/>
    </row>
    <row r="504" spans="1:4" x14ac:dyDescent="0.35">
      <c r="A504" s="37">
        <v>498</v>
      </c>
      <c r="B504" s="35" t="s">
        <v>718</v>
      </c>
      <c r="C504" s="38">
        <v>1635</v>
      </c>
      <c r="D504" s="13"/>
    </row>
    <row r="505" spans="1:4" x14ac:dyDescent="0.35">
      <c r="A505" s="37">
        <v>499</v>
      </c>
      <c r="B505" s="35" t="s">
        <v>719</v>
      </c>
      <c r="C505" s="13"/>
      <c r="D505" s="38">
        <v>353</v>
      </c>
    </row>
    <row r="506" spans="1:4" x14ac:dyDescent="0.35">
      <c r="A506" s="37">
        <v>500</v>
      </c>
      <c r="B506" s="35" t="s">
        <v>720</v>
      </c>
      <c r="C506" s="38">
        <v>8083</v>
      </c>
      <c r="D506" s="13"/>
    </row>
    <row r="507" spans="1:4" x14ac:dyDescent="0.35">
      <c r="A507" s="37">
        <v>501</v>
      </c>
      <c r="B507" s="35" t="s">
        <v>721</v>
      </c>
      <c r="C507" s="38">
        <v>9008</v>
      </c>
      <c r="D507" s="13"/>
    </row>
    <row r="508" spans="1:4" x14ac:dyDescent="0.35">
      <c r="A508" s="37">
        <v>502</v>
      </c>
      <c r="B508" s="35" t="s">
        <v>722</v>
      </c>
      <c r="C508" s="38">
        <v>9687</v>
      </c>
      <c r="D508" s="13"/>
    </row>
    <row r="509" spans="1:4" x14ac:dyDescent="0.35">
      <c r="A509" s="37">
        <v>503</v>
      </c>
      <c r="B509" s="35" t="s">
        <v>723</v>
      </c>
      <c r="C509" s="38">
        <v>891</v>
      </c>
      <c r="D509" s="13"/>
    </row>
    <row r="510" spans="1:4" x14ac:dyDescent="0.35">
      <c r="A510" s="37">
        <v>504</v>
      </c>
      <c r="B510" s="35" t="s">
        <v>724</v>
      </c>
      <c r="C510" s="13"/>
      <c r="D510" s="38">
        <v>10</v>
      </c>
    </row>
    <row r="511" spans="1:4" x14ac:dyDescent="0.35">
      <c r="A511" s="37">
        <v>505</v>
      </c>
      <c r="B511" s="35" t="s">
        <v>725</v>
      </c>
      <c r="C511" s="13"/>
      <c r="D511" s="38">
        <v>65</v>
      </c>
    </row>
    <row r="512" spans="1:4" x14ac:dyDescent="0.35">
      <c r="A512" s="37">
        <v>506</v>
      </c>
      <c r="B512" s="35" t="s">
        <v>726</v>
      </c>
      <c r="C512" s="13"/>
      <c r="D512" s="38">
        <v>1</v>
      </c>
    </row>
    <row r="513" spans="1:4" x14ac:dyDescent="0.35">
      <c r="A513" s="37">
        <v>507</v>
      </c>
      <c r="B513" s="35" t="s">
        <v>727</v>
      </c>
      <c r="C513" s="38">
        <v>7693</v>
      </c>
      <c r="D513" s="13"/>
    </row>
    <row r="514" spans="1:4" x14ac:dyDescent="0.35">
      <c r="A514" s="37">
        <v>508</v>
      </c>
      <c r="B514" s="35" t="s">
        <v>728</v>
      </c>
      <c r="C514" s="38">
        <v>10372</v>
      </c>
      <c r="D514" s="13"/>
    </row>
    <row r="515" spans="1:4" x14ac:dyDescent="0.35">
      <c r="A515" s="37">
        <v>509</v>
      </c>
      <c r="B515" s="35" t="s">
        <v>729</v>
      </c>
      <c r="C515" s="13"/>
      <c r="D515" s="38">
        <v>71</v>
      </c>
    </row>
    <row r="516" spans="1:4" x14ac:dyDescent="0.35">
      <c r="A516" s="37">
        <v>510</v>
      </c>
      <c r="B516" s="35" t="s">
        <v>730</v>
      </c>
      <c r="C516" s="38">
        <v>3</v>
      </c>
      <c r="D516" s="13"/>
    </row>
    <row r="517" spans="1:4" x14ac:dyDescent="0.35">
      <c r="A517" s="37">
        <v>511</v>
      </c>
      <c r="B517" s="35" t="s">
        <v>731</v>
      </c>
      <c r="C517" s="13"/>
      <c r="D517" s="38">
        <v>1</v>
      </c>
    </row>
    <row r="518" spans="1:4" x14ac:dyDescent="0.35">
      <c r="A518" s="37">
        <v>512</v>
      </c>
      <c r="B518" s="35" t="s">
        <v>732</v>
      </c>
      <c r="C518" s="38">
        <v>840</v>
      </c>
      <c r="D518" s="13"/>
    </row>
    <row r="519" spans="1:4" x14ac:dyDescent="0.35">
      <c r="A519" s="37">
        <v>513</v>
      </c>
      <c r="B519" s="35" t="s">
        <v>733</v>
      </c>
      <c r="C519" s="13"/>
      <c r="D519" s="38">
        <v>276</v>
      </c>
    </row>
    <row r="520" spans="1:4" x14ac:dyDescent="0.35">
      <c r="A520" s="37">
        <v>514</v>
      </c>
      <c r="B520" s="35" t="s">
        <v>734</v>
      </c>
      <c r="C520" s="38">
        <v>791</v>
      </c>
      <c r="D520" s="13"/>
    </row>
    <row r="521" spans="1:4" x14ac:dyDescent="0.35">
      <c r="A521" s="37">
        <v>515</v>
      </c>
      <c r="B521" s="35" t="s">
        <v>735</v>
      </c>
      <c r="C521" s="38">
        <v>1778</v>
      </c>
      <c r="D521" s="13"/>
    </row>
    <row r="522" spans="1:4" x14ac:dyDescent="0.35">
      <c r="A522" s="37">
        <v>516</v>
      </c>
      <c r="B522" s="35" t="s">
        <v>736</v>
      </c>
      <c r="C522" s="38">
        <v>533</v>
      </c>
      <c r="D522" s="13"/>
    </row>
    <row r="523" spans="1:4" x14ac:dyDescent="0.35">
      <c r="A523" s="37">
        <v>517</v>
      </c>
      <c r="B523" s="35" t="s">
        <v>737</v>
      </c>
      <c r="C523" s="38">
        <v>1</v>
      </c>
      <c r="D523" s="13"/>
    </row>
    <row r="524" spans="1:4" x14ac:dyDescent="0.35">
      <c r="A524" s="37">
        <v>518</v>
      </c>
      <c r="B524" s="35" t="s">
        <v>738</v>
      </c>
      <c r="C524" s="13"/>
      <c r="D524" s="38">
        <v>1102</v>
      </c>
    </row>
    <row r="525" spans="1:4" x14ac:dyDescent="0.35">
      <c r="A525" s="37">
        <v>519</v>
      </c>
      <c r="B525" s="35" t="s">
        <v>739</v>
      </c>
      <c r="C525" s="13"/>
      <c r="D525" s="38">
        <v>1</v>
      </c>
    </row>
    <row r="526" spans="1:4" x14ac:dyDescent="0.35">
      <c r="A526" s="37">
        <v>520</v>
      </c>
      <c r="B526" s="35" t="s">
        <v>740</v>
      </c>
      <c r="C526" s="38">
        <v>1393</v>
      </c>
      <c r="D526" s="13"/>
    </row>
    <row r="527" spans="1:4" x14ac:dyDescent="0.35">
      <c r="A527" s="37">
        <v>521</v>
      </c>
      <c r="B527" s="35" t="s">
        <v>741</v>
      </c>
      <c r="C527" s="38">
        <v>1140</v>
      </c>
      <c r="D527" s="13"/>
    </row>
    <row r="528" spans="1:4" x14ac:dyDescent="0.35">
      <c r="A528" s="37">
        <v>522</v>
      </c>
      <c r="B528" s="35" t="s">
        <v>742</v>
      </c>
      <c r="C528" s="38">
        <v>7636</v>
      </c>
      <c r="D528" s="13"/>
    </row>
    <row r="529" spans="1:4" x14ac:dyDescent="0.35">
      <c r="A529" s="37">
        <v>523</v>
      </c>
      <c r="B529" s="35" t="s">
        <v>743</v>
      </c>
      <c r="C529" s="13"/>
      <c r="D529" s="38">
        <v>200</v>
      </c>
    </row>
    <row r="530" spans="1:4" x14ac:dyDescent="0.35">
      <c r="A530" s="37">
        <v>524</v>
      </c>
      <c r="B530" s="35" t="s">
        <v>744</v>
      </c>
      <c r="C530" s="38">
        <v>2125</v>
      </c>
      <c r="D530" s="13"/>
    </row>
    <row r="531" spans="1:4" x14ac:dyDescent="0.35">
      <c r="A531" s="37">
        <v>525</v>
      </c>
      <c r="B531" s="35" t="s">
        <v>745</v>
      </c>
      <c r="C531" s="13"/>
      <c r="D531" s="38">
        <v>10</v>
      </c>
    </row>
    <row r="532" spans="1:4" x14ac:dyDescent="0.35">
      <c r="A532" s="37">
        <v>526</v>
      </c>
      <c r="B532" s="35" t="s">
        <v>746</v>
      </c>
      <c r="C532" s="38">
        <v>22555</v>
      </c>
      <c r="D532" s="13"/>
    </row>
    <row r="533" spans="1:4" x14ac:dyDescent="0.35">
      <c r="A533" s="37">
        <v>527</v>
      </c>
      <c r="B533" s="35" t="s">
        <v>747</v>
      </c>
      <c r="C533" s="13"/>
      <c r="D533" s="38">
        <v>2</v>
      </c>
    </row>
    <row r="534" spans="1:4" x14ac:dyDescent="0.35">
      <c r="A534" s="37">
        <v>528</v>
      </c>
      <c r="B534" s="35" t="s">
        <v>748</v>
      </c>
      <c r="C534" s="38">
        <v>2051</v>
      </c>
      <c r="D534" s="13"/>
    </row>
    <row r="535" spans="1:4" x14ac:dyDescent="0.35">
      <c r="A535" s="37">
        <v>529</v>
      </c>
      <c r="B535" s="35" t="s">
        <v>749</v>
      </c>
      <c r="C535" s="38">
        <v>4434</v>
      </c>
      <c r="D535" s="13"/>
    </row>
    <row r="536" spans="1:4" x14ac:dyDescent="0.35">
      <c r="A536" s="37">
        <v>530</v>
      </c>
      <c r="B536" s="35" t="s">
        <v>750</v>
      </c>
      <c r="C536" s="38">
        <v>1254</v>
      </c>
      <c r="D536" s="13"/>
    </row>
    <row r="537" spans="1:4" x14ac:dyDescent="0.35">
      <c r="A537" s="37">
        <v>531</v>
      </c>
      <c r="B537" s="35" t="s">
        <v>751</v>
      </c>
      <c r="C537" s="13"/>
      <c r="D537" s="38">
        <v>53790</v>
      </c>
    </row>
    <row r="538" spans="1:4" x14ac:dyDescent="0.35">
      <c r="A538" s="37">
        <v>532</v>
      </c>
      <c r="B538" s="35" t="s">
        <v>752</v>
      </c>
      <c r="C538" s="38">
        <v>39980</v>
      </c>
      <c r="D538" s="13"/>
    </row>
    <row r="539" spans="1:4" x14ac:dyDescent="0.35">
      <c r="A539" s="37">
        <v>533</v>
      </c>
      <c r="B539" s="35" t="s">
        <v>753</v>
      </c>
      <c r="C539" s="38">
        <v>495</v>
      </c>
      <c r="D539" s="13"/>
    </row>
    <row r="540" spans="1:4" x14ac:dyDescent="0.35">
      <c r="A540" s="37">
        <v>534</v>
      </c>
      <c r="B540" s="35" t="s">
        <v>754</v>
      </c>
      <c r="C540" s="38">
        <v>49328</v>
      </c>
      <c r="D540" s="13"/>
    </row>
    <row r="541" spans="1:4" x14ac:dyDescent="0.35">
      <c r="A541" s="37">
        <v>535</v>
      </c>
      <c r="B541" s="35" t="s">
        <v>755</v>
      </c>
      <c r="C541" s="38">
        <v>1</v>
      </c>
      <c r="D541" s="13"/>
    </row>
    <row r="542" spans="1:4" x14ac:dyDescent="0.35">
      <c r="A542" s="37">
        <v>536</v>
      </c>
      <c r="B542" s="35" t="s">
        <v>756</v>
      </c>
      <c r="C542" s="38">
        <v>1658</v>
      </c>
      <c r="D542" s="13"/>
    </row>
    <row r="543" spans="1:4" x14ac:dyDescent="0.35">
      <c r="A543" s="37">
        <v>537</v>
      </c>
      <c r="B543" s="35" t="s">
        <v>757</v>
      </c>
      <c r="C543" s="13"/>
      <c r="D543" s="38">
        <v>175</v>
      </c>
    </row>
    <row r="544" spans="1:4" x14ac:dyDescent="0.35">
      <c r="A544" s="37">
        <v>538</v>
      </c>
      <c r="B544" s="35" t="s">
        <v>758</v>
      </c>
      <c r="C544" s="38">
        <v>9652</v>
      </c>
      <c r="D544" s="13"/>
    </row>
    <row r="545" spans="1:4" x14ac:dyDescent="0.35">
      <c r="A545" s="37">
        <v>539</v>
      </c>
      <c r="B545" s="35" t="s">
        <v>759</v>
      </c>
      <c r="C545" s="13"/>
      <c r="D545" s="38">
        <v>6672</v>
      </c>
    </row>
    <row r="546" spans="1:4" x14ac:dyDescent="0.35">
      <c r="A546" s="37">
        <v>540</v>
      </c>
      <c r="B546" s="35" t="s">
        <v>760</v>
      </c>
      <c r="C546" s="38">
        <v>19199</v>
      </c>
      <c r="D546" s="13"/>
    </row>
    <row r="547" spans="1:4" x14ac:dyDescent="0.35">
      <c r="A547" s="37">
        <v>541</v>
      </c>
      <c r="B547" s="35" t="s">
        <v>761</v>
      </c>
      <c r="C547" s="38">
        <v>1225</v>
      </c>
      <c r="D547" s="13"/>
    </row>
    <row r="548" spans="1:4" x14ac:dyDescent="0.35">
      <c r="A548" s="37">
        <v>542</v>
      </c>
      <c r="B548" s="35" t="s">
        <v>762</v>
      </c>
      <c r="C548" s="13"/>
      <c r="D548" s="38">
        <v>258</v>
      </c>
    </row>
    <row r="549" spans="1:4" x14ac:dyDescent="0.35">
      <c r="A549" s="37">
        <v>543</v>
      </c>
      <c r="B549" s="35" t="s">
        <v>763</v>
      </c>
      <c r="C549" s="13"/>
      <c r="D549" s="38">
        <v>1</v>
      </c>
    </row>
    <row r="550" spans="1:4" x14ac:dyDescent="0.35">
      <c r="A550" s="37">
        <v>544</v>
      </c>
      <c r="B550" s="35" t="s">
        <v>764</v>
      </c>
      <c r="C550" s="38">
        <v>39</v>
      </c>
      <c r="D550" s="13"/>
    </row>
    <row r="551" spans="1:4" x14ac:dyDescent="0.35">
      <c r="A551" s="37">
        <v>545</v>
      </c>
      <c r="B551" s="35" t="s">
        <v>765</v>
      </c>
      <c r="C551" s="38">
        <v>2901</v>
      </c>
      <c r="D551" s="13"/>
    </row>
    <row r="552" spans="1:4" x14ac:dyDescent="0.35">
      <c r="A552" s="37">
        <v>546</v>
      </c>
      <c r="B552" s="35" t="s">
        <v>766</v>
      </c>
      <c r="C552" s="38">
        <v>161</v>
      </c>
      <c r="D552" s="13"/>
    </row>
    <row r="553" spans="1:4" x14ac:dyDescent="0.35">
      <c r="A553" s="37">
        <v>547</v>
      </c>
      <c r="B553" s="35" t="s">
        <v>767</v>
      </c>
      <c r="C553" s="13"/>
      <c r="D553" s="38">
        <v>4803</v>
      </c>
    </row>
    <row r="554" spans="1:4" x14ac:dyDescent="0.35">
      <c r="A554" s="37">
        <v>548</v>
      </c>
      <c r="B554" s="35" t="s">
        <v>768</v>
      </c>
      <c r="C554" s="38">
        <v>242</v>
      </c>
      <c r="D554" s="13"/>
    </row>
    <row r="555" spans="1:4" x14ac:dyDescent="0.35">
      <c r="A555" s="37">
        <v>549</v>
      </c>
      <c r="B555" s="35" t="s">
        <v>769</v>
      </c>
      <c r="C555" s="13"/>
      <c r="D555" s="38">
        <v>662</v>
      </c>
    </row>
    <row r="556" spans="1:4" x14ac:dyDescent="0.35">
      <c r="A556" s="37">
        <v>550</v>
      </c>
      <c r="B556" s="35" t="s">
        <v>770</v>
      </c>
      <c r="C556" s="38">
        <v>32366</v>
      </c>
      <c r="D556" s="13"/>
    </row>
    <row r="557" spans="1:4" x14ac:dyDescent="0.35">
      <c r="A557" s="37">
        <v>551</v>
      </c>
      <c r="B557" s="35" t="s">
        <v>771</v>
      </c>
      <c r="C557" s="38">
        <v>61401</v>
      </c>
      <c r="D557" s="13"/>
    </row>
    <row r="558" spans="1:4" x14ac:dyDescent="0.35">
      <c r="A558" s="37">
        <v>552</v>
      </c>
      <c r="B558" s="35" t="s">
        <v>772</v>
      </c>
      <c r="C558" s="13"/>
      <c r="D558" s="38">
        <v>2</v>
      </c>
    </row>
    <row r="559" spans="1:4" x14ac:dyDescent="0.35">
      <c r="A559" s="37">
        <v>553</v>
      </c>
      <c r="B559" s="35" t="s">
        <v>773</v>
      </c>
      <c r="C559" s="13"/>
      <c r="D559" s="38">
        <v>3</v>
      </c>
    </row>
    <row r="560" spans="1:4" x14ac:dyDescent="0.35">
      <c r="A560" s="37">
        <v>554</v>
      </c>
      <c r="B560" s="35" t="s">
        <v>774</v>
      </c>
      <c r="C560" s="38">
        <v>3831</v>
      </c>
      <c r="D560" s="13"/>
    </row>
    <row r="561" spans="1:4" x14ac:dyDescent="0.35">
      <c r="A561" s="37">
        <v>555</v>
      </c>
      <c r="B561" s="35" t="s">
        <v>775</v>
      </c>
      <c r="C561" s="13"/>
      <c r="D561" s="38">
        <v>288</v>
      </c>
    </row>
    <row r="562" spans="1:4" x14ac:dyDescent="0.35">
      <c r="A562" s="37">
        <v>556</v>
      </c>
      <c r="B562" s="35" t="s">
        <v>776</v>
      </c>
      <c r="C562" s="13"/>
      <c r="D562" s="38">
        <v>1</v>
      </c>
    </row>
    <row r="563" spans="1:4" x14ac:dyDescent="0.35">
      <c r="A563" s="37">
        <v>557</v>
      </c>
      <c r="B563" s="35" t="s">
        <v>777</v>
      </c>
      <c r="C563" s="13"/>
      <c r="D563" s="38">
        <v>89</v>
      </c>
    </row>
    <row r="564" spans="1:4" x14ac:dyDescent="0.35">
      <c r="A564" s="37">
        <v>558</v>
      </c>
      <c r="B564" s="35" t="s">
        <v>778</v>
      </c>
      <c r="C564" s="38">
        <v>2000</v>
      </c>
      <c r="D564" s="13"/>
    </row>
    <row r="565" spans="1:4" x14ac:dyDescent="0.35">
      <c r="A565" s="37">
        <v>559</v>
      </c>
      <c r="B565" s="35" t="s">
        <v>779</v>
      </c>
      <c r="C565" s="13"/>
      <c r="D565" s="38">
        <v>1392</v>
      </c>
    </row>
    <row r="566" spans="1:4" x14ac:dyDescent="0.35">
      <c r="A566" s="37">
        <v>560</v>
      </c>
      <c r="B566" s="35" t="s">
        <v>780</v>
      </c>
      <c r="C566" s="38">
        <v>1</v>
      </c>
      <c r="D566" s="13"/>
    </row>
    <row r="567" spans="1:4" x14ac:dyDescent="0.35">
      <c r="A567" s="37">
        <v>561</v>
      </c>
      <c r="B567" s="35" t="s">
        <v>781</v>
      </c>
      <c r="C567" s="13"/>
      <c r="D567" s="38">
        <v>24</v>
      </c>
    </row>
    <row r="568" spans="1:4" x14ac:dyDescent="0.35">
      <c r="A568" s="37">
        <v>562</v>
      </c>
      <c r="B568" s="35" t="s">
        <v>782</v>
      </c>
      <c r="C568" s="13"/>
      <c r="D568" s="38">
        <v>1</v>
      </c>
    </row>
    <row r="569" spans="1:4" x14ac:dyDescent="0.35">
      <c r="A569" s="37">
        <v>563</v>
      </c>
      <c r="B569" s="35" t="s">
        <v>783</v>
      </c>
      <c r="C569" s="13"/>
      <c r="D569" s="38">
        <v>1</v>
      </c>
    </row>
    <row r="570" spans="1:4" x14ac:dyDescent="0.35">
      <c r="A570" s="37">
        <v>564</v>
      </c>
      <c r="B570" s="35" t="s">
        <v>784</v>
      </c>
      <c r="C570" s="38">
        <v>81299</v>
      </c>
      <c r="D570" s="13"/>
    </row>
    <row r="571" spans="1:4" x14ac:dyDescent="0.35">
      <c r="A571" s="37">
        <v>565</v>
      </c>
      <c r="B571" s="35" t="s">
        <v>785</v>
      </c>
      <c r="C571" s="38">
        <v>8</v>
      </c>
      <c r="D571" s="13"/>
    </row>
    <row r="572" spans="1:4" x14ac:dyDescent="0.35">
      <c r="A572" s="37">
        <v>566</v>
      </c>
      <c r="B572" s="35" t="s">
        <v>786</v>
      </c>
      <c r="C572" s="38">
        <v>4045</v>
      </c>
      <c r="D572" s="13"/>
    </row>
    <row r="573" spans="1:4" x14ac:dyDescent="0.35">
      <c r="A573" s="37">
        <v>567</v>
      </c>
      <c r="B573" s="35" t="s">
        <v>787</v>
      </c>
      <c r="C573" s="13"/>
      <c r="D573" s="38">
        <v>54</v>
      </c>
    </row>
    <row r="574" spans="1:4" x14ac:dyDescent="0.35">
      <c r="A574" s="37">
        <v>568</v>
      </c>
      <c r="B574" s="35" t="s">
        <v>788</v>
      </c>
      <c r="C574" s="38">
        <v>46998</v>
      </c>
      <c r="D574" s="13"/>
    </row>
    <row r="575" spans="1:4" x14ac:dyDescent="0.35">
      <c r="A575" s="37">
        <v>569</v>
      </c>
      <c r="B575" s="35" t="s">
        <v>789</v>
      </c>
      <c r="C575" s="38">
        <v>4155</v>
      </c>
      <c r="D575" s="13"/>
    </row>
    <row r="576" spans="1:4" x14ac:dyDescent="0.35">
      <c r="A576" s="37">
        <v>570</v>
      </c>
      <c r="B576" s="35" t="s">
        <v>790</v>
      </c>
      <c r="C576" s="38">
        <v>1670</v>
      </c>
      <c r="D576" s="13"/>
    </row>
    <row r="577" spans="1:4" x14ac:dyDescent="0.35">
      <c r="A577" s="37">
        <v>571</v>
      </c>
      <c r="B577" s="35" t="s">
        <v>791</v>
      </c>
      <c r="C577" s="38">
        <v>378</v>
      </c>
      <c r="D577" s="13"/>
    </row>
    <row r="578" spans="1:4" x14ac:dyDescent="0.35">
      <c r="A578" s="37">
        <v>572</v>
      </c>
      <c r="B578" s="35" t="s">
        <v>792</v>
      </c>
      <c r="C578" s="13"/>
      <c r="D578" s="38">
        <v>132</v>
      </c>
    </row>
    <row r="579" spans="1:4" x14ac:dyDescent="0.35">
      <c r="A579" s="37">
        <v>573</v>
      </c>
      <c r="B579" s="35" t="s">
        <v>793</v>
      </c>
      <c r="C579" s="13"/>
      <c r="D579" s="38">
        <v>300</v>
      </c>
    </row>
    <row r="580" spans="1:4" x14ac:dyDescent="0.35">
      <c r="A580" s="37">
        <v>574</v>
      </c>
      <c r="B580" s="35" t="s">
        <v>794</v>
      </c>
      <c r="C580" s="38">
        <v>4450</v>
      </c>
      <c r="D580" s="13"/>
    </row>
    <row r="581" spans="1:4" x14ac:dyDescent="0.35">
      <c r="A581" s="37">
        <v>575</v>
      </c>
      <c r="B581" s="35" t="s">
        <v>795</v>
      </c>
      <c r="C581" s="38">
        <v>94263</v>
      </c>
      <c r="D581" s="13"/>
    </row>
    <row r="582" spans="1:4" x14ac:dyDescent="0.35">
      <c r="A582" s="37">
        <v>576</v>
      </c>
      <c r="B582" s="35" t="s">
        <v>796</v>
      </c>
      <c r="C582" s="13"/>
      <c r="D582" s="38">
        <v>16609</v>
      </c>
    </row>
    <row r="583" spans="1:4" x14ac:dyDescent="0.35">
      <c r="A583" s="37">
        <v>577</v>
      </c>
      <c r="B583" s="35" t="s">
        <v>797</v>
      </c>
      <c r="C583" s="13"/>
      <c r="D583" s="38">
        <v>406</v>
      </c>
    </row>
    <row r="584" spans="1:4" x14ac:dyDescent="0.35">
      <c r="A584" s="37">
        <v>578</v>
      </c>
      <c r="B584" s="35" t="s">
        <v>798</v>
      </c>
      <c r="C584" s="38">
        <v>6263</v>
      </c>
      <c r="D584" s="13"/>
    </row>
    <row r="585" spans="1:4" x14ac:dyDescent="0.35">
      <c r="A585" s="37">
        <v>579</v>
      </c>
      <c r="B585" s="35" t="s">
        <v>799</v>
      </c>
      <c r="C585" s="13"/>
      <c r="D585" s="38">
        <v>2084</v>
      </c>
    </row>
    <row r="586" spans="1:4" x14ac:dyDescent="0.35">
      <c r="A586" s="37">
        <v>580</v>
      </c>
      <c r="B586" s="35" t="s">
        <v>800</v>
      </c>
      <c r="C586" s="38">
        <v>7865</v>
      </c>
      <c r="D586" s="13"/>
    </row>
    <row r="587" spans="1:4" x14ac:dyDescent="0.35">
      <c r="A587" s="37">
        <v>581</v>
      </c>
      <c r="B587" s="35" t="s">
        <v>801</v>
      </c>
      <c r="C587" s="38">
        <v>12207</v>
      </c>
      <c r="D587" s="13"/>
    </row>
    <row r="588" spans="1:4" x14ac:dyDescent="0.35">
      <c r="A588" s="37">
        <v>582</v>
      </c>
      <c r="B588" s="35" t="s">
        <v>802</v>
      </c>
      <c r="C588" s="13"/>
      <c r="D588" s="38">
        <v>348</v>
      </c>
    </row>
    <row r="589" spans="1:4" x14ac:dyDescent="0.35">
      <c r="A589" s="37">
        <v>583</v>
      </c>
      <c r="B589" s="35" t="s">
        <v>803</v>
      </c>
      <c r="C589" s="38">
        <v>19576</v>
      </c>
      <c r="D589" s="13"/>
    </row>
    <row r="590" spans="1:4" x14ac:dyDescent="0.35">
      <c r="A590" s="37">
        <v>584</v>
      </c>
      <c r="B590" s="35" t="s">
        <v>804</v>
      </c>
      <c r="C590" s="13"/>
      <c r="D590" s="38">
        <v>1</v>
      </c>
    </row>
    <row r="591" spans="1:4" x14ac:dyDescent="0.35">
      <c r="A591" s="37">
        <v>585</v>
      </c>
      <c r="B591" s="35" t="s">
        <v>805</v>
      </c>
      <c r="C591" s="38">
        <v>3683</v>
      </c>
      <c r="D591" s="13"/>
    </row>
    <row r="592" spans="1:4" x14ac:dyDescent="0.35">
      <c r="A592" s="37">
        <v>586</v>
      </c>
      <c r="B592" s="35" t="s">
        <v>806</v>
      </c>
      <c r="C592" s="13"/>
      <c r="D592" s="38">
        <v>1</v>
      </c>
    </row>
    <row r="593" spans="1:4" x14ac:dyDescent="0.35">
      <c r="A593" s="37">
        <v>587</v>
      </c>
      <c r="B593" s="35" t="s">
        <v>807</v>
      </c>
      <c r="C593" s="38">
        <v>2825</v>
      </c>
      <c r="D593" s="13"/>
    </row>
    <row r="594" spans="1:4" x14ac:dyDescent="0.35">
      <c r="A594" s="37">
        <v>588</v>
      </c>
      <c r="B594" s="35" t="s">
        <v>808</v>
      </c>
      <c r="C594" s="38">
        <v>11915</v>
      </c>
      <c r="D594" s="13"/>
    </row>
    <row r="595" spans="1:4" x14ac:dyDescent="0.35">
      <c r="A595" s="37">
        <v>589</v>
      </c>
      <c r="B595" s="35" t="s">
        <v>809</v>
      </c>
      <c r="C595" s="38">
        <v>751</v>
      </c>
      <c r="D595" s="13"/>
    </row>
    <row r="596" spans="1:4" x14ac:dyDescent="0.35">
      <c r="A596" s="37">
        <v>590</v>
      </c>
      <c r="B596" s="35" t="s">
        <v>810</v>
      </c>
      <c r="C596" s="13"/>
      <c r="D596" s="38">
        <v>4</v>
      </c>
    </row>
    <row r="597" spans="1:4" x14ac:dyDescent="0.35">
      <c r="A597" s="37">
        <v>591</v>
      </c>
      <c r="B597" s="35" t="s">
        <v>811</v>
      </c>
      <c r="C597" s="13"/>
      <c r="D597" s="38">
        <v>43</v>
      </c>
    </row>
    <row r="598" spans="1:4" x14ac:dyDescent="0.35">
      <c r="A598" s="37">
        <v>592</v>
      </c>
      <c r="B598" s="35" t="s">
        <v>812</v>
      </c>
      <c r="C598" s="38">
        <v>2936</v>
      </c>
      <c r="D598" s="13"/>
    </row>
    <row r="599" spans="1:4" x14ac:dyDescent="0.35">
      <c r="A599" s="37">
        <v>593</v>
      </c>
      <c r="B599" s="35" t="s">
        <v>813</v>
      </c>
      <c r="C599" s="38">
        <v>9226</v>
      </c>
      <c r="D599" s="13"/>
    </row>
    <row r="600" spans="1:4" x14ac:dyDescent="0.35">
      <c r="A600" s="37">
        <v>594</v>
      </c>
      <c r="B600" s="35" t="s">
        <v>814</v>
      </c>
      <c r="C600" s="38">
        <v>4176</v>
      </c>
      <c r="D600" s="13"/>
    </row>
    <row r="601" spans="1:4" x14ac:dyDescent="0.35">
      <c r="A601" s="37">
        <v>595</v>
      </c>
      <c r="B601" s="35" t="s">
        <v>815</v>
      </c>
      <c r="C601" s="13"/>
      <c r="D601" s="38">
        <v>1032</v>
      </c>
    </row>
    <row r="602" spans="1:4" x14ac:dyDescent="0.35">
      <c r="A602" s="37">
        <v>596</v>
      </c>
      <c r="B602" s="35" t="s">
        <v>816</v>
      </c>
      <c r="C602" s="38">
        <v>1</v>
      </c>
      <c r="D602" s="13"/>
    </row>
    <row r="603" spans="1:4" x14ac:dyDescent="0.35">
      <c r="A603" s="37">
        <v>597</v>
      </c>
      <c r="B603" s="35" t="s">
        <v>817</v>
      </c>
      <c r="C603" s="13"/>
      <c r="D603" s="38">
        <v>160</v>
      </c>
    </row>
    <row r="604" spans="1:4" x14ac:dyDescent="0.35">
      <c r="A604" s="37">
        <v>598</v>
      </c>
      <c r="B604" s="35" t="s">
        <v>818</v>
      </c>
      <c r="C604" s="38">
        <v>5659</v>
      </c>
      <c r="D604" s="13"/>
    </row>
    <row r="605" spans="1:4" x14ac:dyDescent="0.35">
      <c r="A605" s="37">
        <v>599</v>
      </c>
      <c r="B605" s="35" t="s">
        <v>819</v>
      </c>
      <c r="C605" s="38">
        <v>3085</v>
      </c>
      <c r="D605" s="13"/>
    </row>
    <row r="606" spans="1:4" x14ac:dyDescent="0.35">
      <c r="A606" s="37">
        <v>600</v>
      </c>
      <c r="B606" s="35" t="s">
        <v>820</v>
      </c>
      <c r="C606" s="38">
        <v>7162</v>
      </c>
      <c r="D606" s="13"/>
    </row>
    <row r="607" spans="1:4" x14ac:dyDescent="0.35">
      <c r="A607" s="37">
        <v>601</v>
      </c>
      <c r="B607" s="35" t="s">
        <v>821</v>
      </c>
      <c r="C607" s="38">
        <v>700</v>
      </c>
      <c r="D607" s="13"/>
    </row>
    <row r="608" spans="1:4" x14ac:dyDescent="0.35">
      <c r="A608" s="37">
        <v>602</v>
      </c>
      <c r="B608" s="35" t="s">
        <v>822</v>
      </c>
      <c r="C608" s="13"/>
      <c r="D608" s="38">
        <v>1078</v>
      </c>
    </row>
    <row r="609" spans="1:4" x14ac:dyDescent="0.35">
      <c r="A609" s="37">
        <v>603</v>
      </c>
      <c r="B609" s="35" t="s">
        <v>823</v>
      </c>
      <c r="C609" s="38">
        <v>1</v>
      </c>
      <c r="D609" s="13"/>
    </row>
    <row r="610" spans="1:4" x14ac:dyDescent="0.35">
      <c r="A610" s="37">
        <v>604</v>
      </c>
      <c r="B610" s="35" t="s">
        <v>824</v>
      </c>
      <c r="C610" s="38">
        <v>3246</v>
      </c>
      <c r="D610" s="13"/>
    </row>
    <row r="611" spans="1:4" x14ac:dyDescent="0.35">
      <c r="A611" s="37">
        <v>605</v>
      </c>
      <c r="B611" s="35" t="s">
        <v>825</v>
      </c>
      <c r="C611" s="38">
        <v>36888</v>
      </c>
      <c r="D611" s="13"/>
    </row>
    <row r="612" spans="1:4" x14ac:dyDescent="0.35">
      <c r="A612" s="37">
        <v>606</v>
      </c>
      <c r="B612" s="35" t="s">
        <v>826</v>
      </c>
      <c r="C612" s="13"/>
      <c r="D612" s="38">
        <v>1</v>
      </c>
    </row>
    <row r="613" spans="1:4" x14ac:dyDescent="0.35">
      <c r="A613" s="37">
        <v>607</v>
      </c>
      <c r="B613" s="35" t="s">
        <v>827</v>
      </c>
      <c r="C613" s="38">
        <v>1</v>
      </c>
      <c r="D613" s="13"/>
    </row>
    <row r="614" spans="1:4" x14ac:dyDescent="0.35">
      <c r="A614" s="37">
        <v>608</v>
      </c>
      <c r="B614" s="35" t="s">
        <v>828</v>
      </c>
      <c r="C614" s="38">
        <v>176</v>
      </c>
      <c r="D614" s="13"/>
    </row>
    <row r="615" spans="1:4" x14ac:dyDescent="0.35">
      <c r="A615" s="37">
        <v>609</v>
      </c>
      <c r="B615" s="35" t="s">
        <v>829</v>
      </c>
      <c r="C615" s="13"/>
      <c r="D615" s="38">
        <v>346</v>
      </c>
    </row>
    <row r="616" spans="1:4" x14ac:dyDescent="0.35">
      <c r="A616" s="37">
        <v>610</v>
      </c>
      <c r="B616" s="35" t="s">
        <v>830</v>
      </c>
      <c r="C616" s="13"/>
      <c r="D616" s="38">
        <v>1</v>
      </c>
    </row>
    <row r="617" spans="1:4" x14ac:dyDescent="0.35">
      <c r="A617" s="37">
        <v>611</v>
      </c>
      <c r="B617" s="35" t="s">
        <v>831</v>
      </c>
      <c r="C617" s="38">
        <v>34</v>
      </c>
      <c r="D617" s="13"/>
    </row>
    <row r="618" spans="1:4" x14ac:dyDescent="0.35">
      <c r="A618" s="37">
        <v>612</v>
      </c>
      <c r="B618" s="35" t="s">
        <v>832</v>
      </c>
      <c r="C618" s="13"/>
      <c r="D618" s="38">
        <v>1</v>
      </c>
    </row>
    <row r="619" spans="1:4" x14ac:dyDescent="0.35">
      <c r="A619" s="37">
        <v>613</v>
      </c>
      <c r="B619" s="35" t="s">
        <v>833</v>
      </c>
      <c r="C619" s="13"/>
      <c r="D619" s="38">
        <v>53925</v>
      </c>
    </row>
    <row r="620" spans="1:4" x14ac:dyDescent="0.35">
      <c r="A620" s="37">
        <v>614</v>
      </c>
      <c r="B620" s="35" t="s">
        <v>834</v>
      </c>
      <c r="C620" s="38">
        <v>3861</v>
      </c>
      <c r="D620" s="13"/>
    </row>
    <row r="621" spans="1:4" x14ac:dyDescent="0.35">
      <c r="A621" s="37">
        <v>615</v>
      </c>
      <c r="B621" s="35" t="s">
        <v>835</v>
      </c>
      <c r="C621" s="38">
        <v>2950</v>
      </c>
      <c r="D621" s="13"/>
    </row>
    <row r="622" spans="1:4" x14ac:dyDescent="0.35">
      <c r="A622" s="37">
        <v>616</v>
      </c>
      <c r="B622" s="35" t="s">
        <v>836</v>
      </c>
      <c r="C622" s="38">
        <v>8254</v>
      </c>
      <c r="D622" s="13"/>
    </row>
    <row r="623" spans="1:4" x14ac:dyDescent="0.35">
      <c r="A623" s="37">
        <v>617</v>
      </c>
      <c r="B623" s="35" t="s">
        <v>837</v>
      </c>
      <c r="C623" s="38">
        <v>125</v>
      </c>
      <c r="D623" s="13"/>
    </row>
    <row r="624" spans="1:4" x14ac:dyDescent="0.35">
      <c r="A624" s="37">
        <v>618</v>
      </c>
      <c r="B624" s="35" t="s">
        <v>838</v>
      </c>
      <c r="C624" s="38">
        <v>750</v>
      </c>
      <c r="D624" s="13"/>
    </row>
    <row r="625" spans="1:4" x14ac:dyDescent="0.35">
      <c r="A625" s="37">
        <v>619</v>
      </c>
      <c r="B625" s="35" t="s">
        <v>839</v>
      </c>
      <c r="C625" s="13"/>
      <c r="D625" s="38">
        <v>3328</v>
      </c>
    </row>
    <row r="626" spans="1:4" x14ac:dyDescent="0.35">
      <c r="A626" s="37">
        <v>620</v>
      </c>
      <c r="B626" s="35" t="s">
        <v>840</v>
      </c>
      <c r="C626" s="38">
        <v>9508</v>
      </c>
      <c r="D626" s="13"/>
    </row>
    <row r="627" spans="1:4" x14ac:dyDescent="0.35">
      <c r="A627" s="37">
        <v>621</v>
      </c>
      <c r="B627" s="35" t="s">
        <v>841</v>
      </c>
      <c r="C627" s="38">
        <v>4124</v>
      </c>
      <c r="D627" s="13"/>
    </row>
    <row r="628" spans="1:4" x14ac:dyDescent="0.35">
      <c r="A628" s="37">
        <v>622</v>
      </c>
      <c r="B628" s="35" t="s">
        <v>842</v>
      </c>
      <c r="C628" s="13"/>
      <c r="D628" s="38">
        <v>1</v>
      </c>
    </row>
    <row r="629" spans="1:4" x14ac:dyDescent="0.35">
      <c r="A629" s="37">
        <v>623</v>
      </c>
      <c r="B629" s="35" t="s">
        <v>843</v>
      </c>
      <c r="C629" s="13"/>
      <c r="D629" s="38">
        <v>8547.67</v>
      </c>
    </row>
    <row r="630" spans="1:4" x14ac:dyDescent="0.35">
      <c r="A630" s="37">
        <v>624</v>
      </c>
      <c r="B630" s="35" t="s">
        <v>844</v>
      </c>
      <c r="C630" s="13"/>
      <c r="D630" s="38">
        <v>53</v>
      </c>
    </row>
    <row r="631" spans="1:4" x14ac:dyDescent="0.35">
      <c r="A631" s="37">
        <v>625</v>
      </c>
      <c r="B631" s="35" t="s">
        <v>845</v>
      </c>
      <c r="C631" s="38">
        <v>2109</v>
      </c>
      <c r="D631" s="13"/>
    </row>
    <row r="632" spans="1:4" x14ac:dyDescent="0.35">
      <c r="A632" s="37">
        <v>626</v>
      </c>
      <c r="B632" s="35" t="s">
        <v>846</v>
      </c>
      <c r="C632" s="38">
        <v>329</v>
      </c>
      <c r="D632" s="13"/>
    </row>
    <row r="633" spans="1:4" x14ac:dyDescent="0.35">
      <c r="A633" s="37">
        <v>627</v>
      </c>
      <c r="B633" s="35" t="s">
        <v>847</v>
      </c>
      <c r="C633" s="13"/>
      <c r="D633" s="38">
        <v>1</v>
      </c>
    </row>
    <row r="634" spans="1:4" x14ac:dyDescent="0.35">
      <c r="A634" s="37">
        <v>628</v>
      </c>
      <c r="B634" s="35" t="s">
        <v>848</v>
      </c>
      <c r="C634" s="13"/>
      <c r="D634" s="38">
        <v>98</v>
      </c>
    </row>
    <row r="635" spans="1:4" x14ac:dyDescent="0.35">
      <c r="A635" s="37">
        <v>629</v>
      </c>
      <c r="B635" s="35" t="s">
        <v>849</v>
      </c>
      <c r="C635" s="38">
        <v>81798</v>
      </c>
      <c r="D635" s="13"/>
    </row>
    <row r="636" spans="1:4" x14ac:dyDescent="0.35">
      <c r="A636" s="37">
        <v>630</v>
      </c>
      <c r="B636" s="35" t="s">
        <v>850</v>
      </c>
      <c r="C636" s="13"/>
      <c r="D636" s="38">
        <v>1</v>
      </c>
    </row>
    <row r="637" spans="1:4" x14ac:dyDescent="0.35">
      <c r="A637" s="37">
        <v>631</v>
      </c>
      <c r="B637" s="35" t="s">
        <v>851</v>
      </c>
      <c r="C637" s="38">
        <v>875</v>
      </c>
      <c r="D637" s="13"/>
    </row>
    <row r="638" spans="1:4" x14ac:dyDescent="0.35">
      <c r="A638" s="37">
        <v>632</v>
      </c>
      <c r="B638" s="35" t="s">
        <v>852</v>
      </c>
      <c r="C638" s="38">
        <v>1967</v>
      </c>
      <c r="D638" s="13"/>
    </row>
    <row r="639" spans="1:4" x14ac:dyDescent="0.35">
      <c r="A639" s="37">
        <v>633</v>
      </c>
      <c r="B639" s="35" t="s">
        <v>853</v>
      </c>
      <c r="C639" s="38">
        <v>1918</v>
      </c>
      <c r="D639" s="13"/>
    </row>
    <row r="640" spans="1:4" x14ac:dyDescent="0.35">
      <c r="A640" s="37">
        <v>634</v>
      </c>
      <c r="B640" s="35" t="s">
        <v>854</v>
      </c>
      <c r="C640" s="38">
        <v>471</v>
      </c>
      <c r="D640" s="13"/>
    </row>
    <row r="641" spans="1:4" x14ac:dyDescent="0.35">
      <c r="A641" s="37">
        <v>635</v>
      </c>
      <c r="B641" s="35" t="s">
        <v>855</v>
      </c>
      <c r="C641" s="38">
        <v>4135</v>
      </c>
      <c r="D641" s="13"/>
    </row>
    <row r="642" spans="1:4" x14ac:dyDescent="0.35">
      <c r="A642" s="37">
        <v>636</v>
      </c>
      <c r="B642" s="35" t="s">
        <v>856</v>
      </c>
      <c r="C642" s="13"/>
      <c r="D642" s="38">
        <v>105</v>
      </c>
    </row>
    <row r="643" spans="1:4" x14ac:dyDescent="0.35">
      <c r="A643" s="37">
        <v>637</v>
      </c>
      <c r="B643" s="35" t="s">
        <v>857</v>
      </c>
      <c r="C643" s="38">
        <v>1077</v>
      </c>
      <c r="D643" s="13"/>
    </row>
    <row r="644" spans="1:4" x14ac:dyDescent="0.35">
      <c r="A644" s="37">
        <v>638</v>
      </c>
      <c r="B644" s="35" t="s">
        <v>858</v>
      </c>
      <c r="C644" s="38">
        <v>30683</v>
      </c>
      <c r="D644" s="13"/>
    </row>
    <row r="645" spans="1:4" x14ac:dyDescent="0.35">
      <c r="A645" s="37">
        <v>639</v>
      </c>
      <c r="B645" s="35" t="s">
        <v>859</v>
      </c>
      <c r="C645" s="13"/>
      <c r="D645" s="38">
        <v>2520</v>
      </c>
    </row>
    <row r="646" spans="1:4" x14ac:dyDescent="0.35">
      <c r="A646" s="37">
        <v>640</v>
      </c>
      <c r="B646" s="35" t="s">
        <v>860</v>
      </c>
      <c r="C646" s="38">
        <v>2137</v>
      </c>
      <c r="D646" s="13"/>
    </row>
    <row r="647" spans="1:4" x14ac:dyDescent="0.35">
      <c r="A647" s="37">
        <v>641</v>
      </c>
      <c r="B647" s="35" t="s">
        <v>861</v>
      </c>
      <c r="C647" s="13"/>
      <c r="D647" s="38">
        <v>98</v>
      </c>
    </row>
    <row r="648" spans="1:4" x14ac:dyDescent="0.35">
      <c r="A648" s="37">
        <v>642</v>
      </c>
      <c r="B648" s="35" t="s">
        <v>862</v>
      </c>
      <c r="C648" s="38">
        <v>520</v>
      </c>
      <c r="D648" s="13"/>
    </row>
    <row r="649" spans="1:4" x14ac:dyDescent="0.35">
      <c r="A649" s="37">
        <v>643</v>
      </c>
      <c r="B649" s="35" t="s">
        <v>863</v>
      </c>
      <c r="C649" s="13"/>
      <c r="D649" s="38">
        <v>135</v>
      </c>
    </row>
    <row r="650" spans="1:4" x14ac:dyDescent="0.35">
      <c r="A650" s="37">
        <v>644</v>
      </c>
      <c r="B650" s="35" t="s">
        <v>864</v>
      </c>
      <c r="C650" s="38">
        <v>21056</v>
      </c>
      <c r="D650" s="13"/>
    </row>
    <row r="651" spans="1:4" x14ac:dyDescent="0.35">
      <c r="A651" s="37">
        <v>645</v>
      </c>
      <c r="B651" s="35" t="s">
        <v>865</v>
      </c>
      <c r="C651" s="38">
        <v>9624</v>
      </c>
      <c r="D651" s="13"/>
    </row>
    <row r="652" spans="1:4" x14ac:dyDescent="0.35">
      <c r="A652" s="37">
        <v>646</v>
      </c>
      <c r="B652" s="35" t="s">
        <v>866</v>
      </c>
      <c r="C652" s="38">
        <v>794</v>
      </c>
      <c r="D652" s="13"/>
    </row>
    <row r="653" spans="1:4" x14ac:dyDescent="0.35">
      <c r="A653" s="37">
        <v>647</v>
      </c>
      <c r="B653" s="35" t="s">
        <v>867</v>
      </c>
      <c r="C653" s="38">
        <v>10878</v>
      </c>
      <c r="D653" s="13"/>
    </row>
    <row r="654" spans="1:4" x14ac:dyDescent="0.35">
      <c r="A654" s="37">
        <v>648</v>
      </c>
      <c r="B654" s="35" t="s">
        <v>868</v>
      </c>
      <c r="C654" s="38">
        <v>357</v>
      </c>
      <c r="D654" s="13"/>
    </row>
    <row r="655" spans="1:4" x14ac:dyDescent="0.35">
      <c r="A655" s="37">
        <v>649</v>
      </c>
      <c r="B655" s="35" t="s">
        <v>869</v>
      </c>
      <c r="C655" s="38">
        <v>42634</v>
      </c>
      <c r="D655" s="13"/>
    </row>
    <row r="656" spans="1:4" x14ac:dyDescent="0.35">
      <c r="A656" s="37">
        <v>650</v>
      </c>
      <c r="B656" s="35" t="s">
        <v>870</v>
      </c>
      <c r="C656" s="38">
        <v>4493</v>
      </c>
      <c r="D656" s="13"/>
    </row>
    <row r="657" spans="1:4" x14ac:dyDescent="0.35">
      <c r="A657" s="13"/>
      <c r="B657" s="39" t="s">
        <v>871</v>
      </c>
      <c r="C657" s="13"/>
      <c r="D657" s="13"/>
    </row>
    <row r="658" spans="1:4" x14ac:dyDescent="0.35">
      <c r="A658" s="37">
        <v>651</v>
      </c>
      <c r="B658" s="35" t="s">
        <v>872</v>
      </c>
      <c r="C658" s="38">
        <v>120</v>
      </c>
      <c r="D658" s="13"/>
    </row>
    <row r="659" spans="1:4" x14ac:dyDescent="0.35">
      <c r="A659" s="37">
        <v>652</v>
      </c>
      <c r="B659" s="35" t="s">
        <v>873</v>
      </c>
      <c r="C659" s="38">
        <v>4631</v>
      </c>
      <c r="D659" s="13"/>
    </row>
    <row r="660" spans="1:4" x14ac:dyDescent="0.35">
      <c r="A660" s="37">
        <v>653</v>
      </c>
      <c r="B660" s="35" t="s">
        <v>874</v>
      </c>
      <c r="C660" s="38">
        <v>1336</v>
      </c>
      <c r="D660" s="13"/>
    </row>
    <row r="661" spans="1:4" x14ac:dyDescent="0.35">
      <c r="A661" s="37">
        <v>654</v>
      </c>
      <c r="B661" s="35" t="s">
        <v>875</v>
      </c>
      <c r="C661" s="38">
        <v>15367</v>
      </c>
      <c r="D661" s="13"/>
    </row>
    <row r="662" spans="1:4" x14ac:dyDescent="0.35">
      <c r="A662" s="37">
        <v>655</v>
      </c>
      <c r="B662" s="35" t="s">
        <v>876</v>
      </c>
      <c r="C662" s="38">
        <v>2101</v>
      </c>
      <c r="D662" s="13"/>
    </row>
    <row r="663" spans="1:4" x14ac:dyDescent="0.35">
      <c r="A663" s="37">
        <v>656</v>
      </c>
      <c r="B663" s="35" t="s">
        <v>877</v>
      </c>
      <c r="C663" s="38">
        <v>1661</v>
      </c>
      <c r="D663" s="13"/>
    </row>
    <row r="664" spans="1:4" x14ac:dyDescent="0.35">
      <c r="A664" s="37">
        <v>657</v>
      </c>
      <c r="B664" s="35" t="s">
        <v>878</v>
      </c>
      <c r="C664" s="38">
        <v>2128</v>
      </c>
      <c r="D664" s="13"/>
    </row>
    <row r="665" spans="1:4" x14ac:dyDescent="0.35">
      <c r="A665" s="37">
        <v>658</v>
      </c>
      <c r="B665" s="35" t="s">
        <v>879</v>
      </c>
      <c r="C665" s="38">
        <v>9474</v>
      </c>
      <c r="D665" s="13"/>
    </row>
    <row r="666" spans="1:4" x14ac:dyDescent="0.35">
      <c r="A666" s="37">
        <v>659</v>
      </c>
      <c r="B666" s="35" t="s">
        <v>880</v>
      </c>
      <c r="C666" s="38">
        <v>2710</v>
      </c>
      <c r="D666" s="13"/>
    </row>
    <row r="667" spans="1:4" x14ac:dyDescent="0.35">
      <c r="A667" s="37">
        <v>660</v>
      </c>
      <c r="B667" s="35" t="s">
        <v>881</v>
      </c>
      <c r="C667" s="38">
        <v>13703</v>
      </c>
      <c r="D667" s="13"/>
    </row>
    <row r="668" spans="1:4" x14ac:dyDescent="0.35">
      <c r="A668" s="37">
        <v>661</v>
      </c>
      <c r="B668" s="35" t="s">
        <v>882</v>
      </c>
      <c r="C668" s="38">
        <v>3</v>
      </c>
      <c r="D668" s="13"/>
    </row>
    <row r="669" spans="1:4" x14ac:dyDescent="0.35">
      <c r="A669" s="37">
        <v>662</v>
      </c>
      <c r="B669" s="35" t="s">
        <v>883</v>
      </c>
      <c r="C669" s="38">
        <v>33</v>
      </c>
      <c r="D669" s="13"/>
    </row>
    <row r="670" spans="1:4" x14ac:dyDescent="0.35">
      <c r="A670" s="37">
        <v>663</v>
      </c>
      <c r="B670" s="35" t="s">
        <v>884</v>
      </c>
      <c r="C670" s="38">
        <v>63221</v>
      </c>
      <c r="D670" s="13"/>
    </row>
    <row r="671" spans="1:4" x14ac:dyDescent="0.35">
      <c r="A671" s="37">
        <v>664</v>
      </c>
      <c r="B671" s="35" t="s">
        <v>885</v>
      </c>
      <c r="C671" s="38">
        <v>31162.54</v>
      </c>
      <c r="D671" s="13"/>
    </row>
    <row r="672" spans="1:4" x14ac:dyDescent="0.35">
      <c r="A672" s="37">
        <v>665</v>
      </c>
      <c r="B672" s="35" t="s">
        <v>886</v>
      </c>
      <c r="C672" s="38">
        <v>6650</v>
      </c>
      <c r="D672" s="13"/>
    </row>
    <row r="673" spans="1:4" x14ac:dyDescent="0.35">
      <c r="A673" s="37">
        <v>666</v>
      </c>
      <c r="B673" s="35" t="s">
        <v>887</v>
      </c>
      <c r="C673" s="13"/>
      <c r="D673" s="38">
        <v>21</v>
      </c>
    </row>
    <row r="674" spans="1:4" x14ac:dyDescent="0.35">
      <c r="A674" s="37">
        <v>667</v>
      </c>
      <c r="B674" s="35" t="s">
        <v>888</v>
      </c>
      <c r="C674" s="13"/>
      <c r="D674" s="38">
        <v>157</v>
      </c>
    </row>
    <row r="675" spans="1:4" x14ac:dyDescent="0.35">
      <c r="A675" s="37">
        <v>668</v>
      </c>
      <c r="B675" s="35" t="s">
        <v>889</v>
      </c>
      <c r="C675" s="38">
        <v>9306</v>
      </c>
      <c r="D675" s="13"/>
    </row>
    <row r="676" spans="1:4" x14ac:dyDescent="0.35">
      <c r="A676" s="37">
        <v>669</v>
      </c>
      <c r="B676" s="35" t="s">
        <v>890</v>
      </c>
      <c r="C676" s="38">
        <v>504</v>
      </c>
      <c r="D676" s="13"/>
    </row>
    <row r="677" spans="1:4" x14ac:dyDescent="0.35">
      <c r="A677" s="37">
        <v>670</v>
      </c>
      <c r="B677" s="35" t="s">
        <v>891</v>
      </c>
      <c r="C677" s="38">
        <v>4118</v>
      </c>
      <c r="D677" s="13"/>
    </row>
    <row r="678" spans="1:4" x14ac:dyDescent="0.35">
      <c r="A678" s="37">
        <v>671</v>
      </c>
      <c r="B678" s="35" t="s">
        <v>892</v>
      </c>
      <c r="C678" s="38">
        <v>4022</v>
      </c>
      <c r="D678" s="13"/>
    </row>
    <row r="679" spans="1:4" x14ac:dyDescent="0.35">
      <c r="A679" s="37">
        <v>672</v>
      </c>
      <c r="B679" s="35" t="s">
        <v>893</v>
      </c>
      <c r="C679" s="13"/>
      <c r="D679" s="38">
        <v>39</v>
      </c>
    </row>
    <row r="680" spans="1:4" x14ac:dyDescent="0.35">
      <c r="A680" s="37">
        <v>673</v>
      </c>
      <c r="B680" s="35" t="s">
        <v>894</v>
      </c>
      <c r="C680" s="38">
        <v>2193</v>
      </c>
      <c r="D680" s="13"/>
    </row>
    <row r="681" spans="1:4" x14ac:dyDescent="0.35">
      <c r="A681" s="37">
        <v>674</v>
      </c>
      <c r="B681" s="35" t="s">
        <v>895</v>
      </c>
      <c r="C681" s="13"/>
      <c r="D681" s="38">
        <v>306</v>
      </c>
    </row>
    <row r="682" spans="1:4" x14ac:dyDescent="0.35">
      <c r="A682" s="37">
        <v>675</v>
      </c>
      <c r="B682" s="35" t="s">
        <v>896</v>
      </c>
      <c r="C682" s="38">
        <v>3730</v>
      </c>
      <c r="D682" s="13"/>
    </row>
    <row r="683" spans="1:4" x14ac:dyDescent="0.35">
      <c r="A683" s="37">
        <v>676</v>
      </c>
      <c r="B683" s="35" t="s">
        <v>897</v>
      </c>
      <c r="C683" s="13"/>
      <c r="D683" s="38">
        <v>1</v>
      </c>
    </row>
    <row r="684" spans="1:4" x14ac:dyDescent="0.35">
      <c r="A684" s="37">
        <v>677</v>
      </c>
      <c r="B684" s="35" t="s">
        <v>898</v>
      </c>
      <c r="C684" s="38">
        <v>4452</v>
      </c>
      <c r="D684" s="13"/>
    </row>
    <row r="685" spans="1:4" x14ac:dyDescent="0.35">
      <c r="A685" s="37">
        <v>678</v>
      </c>
      <c r="B685" s="35" t="s">
        <v>899</v>
      </c>
      <c r="C685" s="13"/>
      <c r="D685" s="38">
        <v>2369</v>
      </c>
    </row>
    <row r="686" spans="1:4" x14ac:dyDescent="0.35">
      <c r="A686" s="37">
        <v>679</v>
      </c>
      <c r="B686" s="35" t="s">
        <v>900</v>
      </c>
      <c r="C686" s="13"/>
      <c r="D686" s="38">
        <v>55</v>
      </c>
    </row>
    <row r="687" spans="1:4" x14ac:dyDescent="0.35">
      <c r="A687" s="37">
        <v>680</v>
      </c>
      <c r="B687" s="35" t="s">
        <v>901</v>
      </c>
      <c r="C687" s="38">
        <v>2603</v>
      </c>
      <c r="D687" s="13"/>
    </row>
    <row r="688" spans="1:4" x14ac:dyDescent="0.35">
      <c r="A688" s="37">
        <v>681</v>
      </c>
      <c r="B688" s="35" t="s">
        <v>902</v>
      </c>
      <c r="C688" s="13"/>
      <c r="D688" s="38">
        <v>2182</v>
      </c>
    </row>
    <row r="689" spans="1:4" x14ac:dyDescent="0.35">
      <c r="A689" s="37">
        <v>682</v>
      </c>
      <c r="B689" s="35" t="s">
        <v>903</v>
      </c>
      <c r="C689" s="38">
        <v>37453.94</v>
      </c>
      <c r="D689" s="13"/>
    </row>
    <row r="690" spans="1:4" x14ac:dyDescent="0.35">
      <c r="A690" s="37">
        <v>683</v>
      </c>
      <c r="B690" s="35" t="s">
        <v>904</v>
      </c>
      <c r="C690" s="13"/>
      <c r="D690" s="38">
        <v>2</v>
      </c>
    </row>
    <row r="691" spans="1:4" x14ac:dyDescent="0.35">
      <c r="A691" s="37">
        <v>684</v>
      </c>
      <c r="B691" s="35" t="s">
        <v>905</v>
      </c>
      <c r="C691" s="38">
        <v>1875</v>
      </c>
      <c r="D691" s="13"/>
    </row>
    <row r="692" spans="1:4" x14ac:dyDescent="0.35">
      <c r="A692" s="37">
        <v>685</v>
      </c>
      <c r="B692" s="35" t="s">
        <v>906</v>
      </c>
      <c r="C692" s="38">
        <v>1804</v>
      </c>
      <c r="D692" s="13"/>
    </row>
    <row r="693" spans="1:4" x14ac:dyDescent="0.35">
      <c r="A693" s="37">
        <v>686</v>
      </c>
      <c r="B693" s="35" t="s">
        <v>907</v>
      </c>
      <c r="C693" s="13"/>
      <c r="D693" s="38">
        <v>1</v>
      </c>
    </row>
    <row r="694" spans="1:4" x14ac:dyDescent="0.35">
      <c r="A694" s="37">
        <v>687</v>
      </c>
      <c r="B694" s="35" t="s">
        <v>908</v>
      </c>
      <c r="C694" s="13"/>
      <c r="D694" s="38">
        <v>1</v>
      </c>
    </row>
    <row r="695" spans="1:4" x14ac:dyDescent="0.35">
      <c r="A695" s="37">
        <v>688</v>
      </c>
      <c r="B695" s="35" t="s">
        <v>909</v>
      </c>
      <c r="C695" s="13"/>
      <c r="D695" s="38">
        <v>535</v>
      </c>
    </row>
    <row r="696" spans="1:4" x14ac:dyDescent="0.35">
      <c r="A696" s="37">
        <v>689</v>
      </c>
      <c r="B696" s="35" t="s">
        <v>910</v>
      </c>
      <c r="C696" s="38">
        <v>540</v>
      </c>
      <c r="D696" s="13"/>
    </row>
    <row r="697" spans="1:4" x14ac:dyDescent="0.35">
      <c r="A697" s="37">
        <v>690</v>
      </c>
      <c r="B697" s="35" t="s">
        <v>911</v>
      </c>
      <c r="C697" s="38">
        <v>7265</v>
      </c>
      <c r="D697" s="13"/>
    </row>
    <row r="698" spans="1:4" x14ac:dyDescent="0.35">
      <c r="A698" s="37">
        <v>691</v>
      </c>
      <c r="B698" s="35" t="s">
        <v>912</v>
      </c>
      <c r="C698" s="38">
        <v>2325</v>
      </c>
      <c r="D698" s="13"/>
    </row>
    <row r="699" spans="1:4" x14ac:dyDescent="0.35">
      <c r="A699" s="37">
        <v>692</v>
      </c>
      <c r="B699" s="35" t="s">
        <v>913</v>
      </c>
      <c r="C699" s="38">
        <v>1125</v>
      </c>
      <c r="D699" s="13"/>
    </row>
    <row r="700" spans="1:4" x14ac:dyDescent="0.35">
      <c r="A700" s="37">
        <v>693</v>
      </c>
      <c r="B700" s="35" t="s">
        <v>914</v>
      </c>
      <c r="C700" s="38">
        <v>1217</v>
      </c>
      <c r="D700" s="13"/>
    </row>
    <row r="701" spans="1:4" x14ac:dyDescent="0.35">
      <c r="A701" s="37">
        <v>694</v>
      </c>
      <c r="B701" s="35" t="s">
        <v>915</v>
      </c>
      <c r="C701" s="38">
        <v>330</v>
      </c>
      <c r="D701" s="13"/>
    </row>
    <row r="702" spans="1:4" x14ac:dyDescent="0.35">
      <c r="A702" s="37">
        <v>695</v>
      </c>
      <c r="B702" s="35" t="s">
        <v>916</v>
      </c>
      <c r="C702" s="38">
        <v>1</v>
      </c>
      <c r="D702" s="13"/>
    </row>
    <row r="703" spans="1:4" x14ac:dyDescent="0.35">
      <c r="A703" s="13"/>
      <c r="B703" s="39" t="s">
        <v>917</v>
      </c>
      <c r="C703" s="13"/>
      <c r="D703" s="13"/>
    </row>
    <row r="704" spans="1:4" x14ac:dyDescent="0.35">
      <c r="A704" s="37">
        <v>696</v>
      </c>
      <c r="B704" s="35" t="s">
        <v>918</v>
      </c>
      <c r="C704" s="38">
        <v>6041</v>
      </c>
      <c r="D704" s="13"/>
    </row>
    <row r="705" spans="1:4" x14ac:dyDescent="0.35">
      <c r="A705" s="37">
        <v>697</v>
      </c>
      <c r="B705" s="35" t="s">
        <v>919</v>
      </c>
      <c r="C705" s="38">
        <v>49061</v>
      </c>
      <c r="D705" s="13"/>
    </row>
    <row r="706" spans="1:4" x14ac:dyDescent="0.35">
      <c r="A706" s="37">
        <v>698</v>
      </c>
      <c r="B706" s="35" t="s">
        <v>920</v>
      </c>
      <c r="C706" s="38">
        <v>1801</v>
      </c>
      <c r="D706" s="13"/>
    </row>
    <row r="707" spans="1:4" x14ac:dyDescent="0.35">
      <c r="A707" s="37">
        <v>699</v>
      </c>
      <c r="B707" s="35" t="s">
        <v>921</v>
      </c>
      <c r="C707" s="13"/>
      <c r="D707" s="38">
        <v>10</v>
      </c>
    </row>
    <row r="708" spans="1:4" x14ac:dyDescent="0.35">
      <c r="A708" s="37">
        <v>700</v>
      </c>
      <c r="B708" s="35" t="s">
        <v>922</v>
      </c>
      <c r="C708" s="13"/>
      <c r="D708" s="38">
        <v>1</v>
      </c>
    </row>
    <row r="709" spans="1:4" x14ac:dyDescent="0.35">
      <c r="A709" s="37">
        <v>701</v>
      </c>
      <c r="B709" s="35" t="s">
        <v>923</v>
      </c>
      <c r="C709" s="38">
        <v>3675</v>
      </c>
      <c r="D709" s="13"/>
    </row>
    <row r="710" spans="1:4" x14ac:dyDescent="0.35">
      <c r="A710" s="37">
        <v>702</v>
      </c>
      <c r="B710" s="35" t="s">
        <v>924</v>
      </c>
      <c r="C710" s="13"/>
      <c r="D710" s="38">
        <v>820</v>
      </c>
    </row>
    <row r="711" spans="1:4" x14ac:dyDescent="0.35">
      <c r="A711" s="37">
        <v>703</v>
      </c>
      <c r="B711" s="35" t="s">
        <v>925</v>
      </c>
      <c r="C711" s="38">
        <v>1532</v>
      </c>
      <c r="D711" s="13"/>
    </row>
    <row r="712" spans="1:4" x14ac:dyDescent="0.35">
      <c r="A712" s="37">
        <v>704</v>
      </c>
      <c r="B712" s="35" t="s">
        <v>926</v>
      </c>
      <c r="C712" s="13"/>
      <c r="D712" s="38">
        <v>4</v>
      </c>
    </row>
    <row r="713" spans="1:4" x14ac:dyDescent="0.35">
      <c r="A713" s="37">
        <v>705</v>
      </c>
      <c r="B713" s="35" t="s">
        <v>927</v>
      </c>
      <c r="C713" s="38">
        <v>4</v>
      </c>
      <c r="D713" s="13"/>
    </row>
    <row r="714" spans="1:4" x14ac:dyDescent="0.35">
      <c r="A714" s="37">
        <v>706</v>
      </c>
      <c r="B714" s="35" t="s">
        <v>928</v>
      </c>
      <c r="C714" s="13"/>
      <c r="D714" s="38">
        <v>167</v>
      </c>
    </row>
    <row r="715" spans="1:4" x14ac:dyDescent="0.35">
      <c r="A715" s="37">
        <v>707</v>
      </c>
      <c r="B715" s="35" t="s">
        <v>929</v>
      </c>
      <c r="C715" s="13"/>
      <c r="D715" s="38">
        <v>1</v>
      </c>
    </row>
    <row r="716" spans="1:4" x14ac:dyDescent="0.35">
      <c r="A716" s="37">
        <v>708</v>
      </c>
      <c r="B716" s="35" t="s">
        <v>930</v>
      </c>
      <c r="C716" s="13"/>
      <c r="D716" s="38">
        <v>1</v>
      </c>
    </row>
    <row r="717" spans="1:4" x14ac:dyDescent="0.35">
      <c r="A717" s="37">
        <v>709</v>
      </c>
      <c r="B717" s="35" t="s">
        <v>931</v>
      </c>
      <c r="C717" s="38">
        <v>5822</v>
      </c>
      <c r="D717" s="13"/>
    </row>
    <row r="718" spans="1:4" x14ac:dyDescent="0.35">
      <c r="A718" s="37">
        <v>710</v>
      </c>
      <c r="B718" s="35" t="s">
        <v>932</v>
      </c>
      <c r="C718" s="13"/>
      <c r="D718" s="38">
        <v>1</v>
      </c>
    </row>
    <row r="719" spans="1:4" x14ac:dyDescent="0.35">
      <c r="A719" s="37">
        <v>711</v>
      </c>
      <c r="B719" s="35" t="s">
        <v>933</v>
      </c>
      <c r="C719" s="13"/>
      <c r="D719" s="38">
        <v>53</v>
      </c>
    </row>
    <row r="720" spans="1:4" x14ac:dyDescent="0.35">
      <c r="A720" s="37">
        <v>712</v>
      </c>
      <c r="B720" s="35" t="s">
        <v>934</v>
      </c>
      <c r="C720" s="38">
        <v>50</v>
      </c>
      <c r="D720" s="13"/>
    </row>
    <row r="721" spans="1:4" x14ac:dyDescent="0.35">
      <c r="A721" s="37">
        <v>713</v>
      </c>
      <c r="B721" s="35" t="s">
        <v>935</v>
      </c>
      <c r="C721" s="13"/>
      <c r="D721" s="38">
        <v>44</v>
      </c>
    </row>
    <row r="722" spans="1:4" x14ac:dyDescent="0.35">
      <c r="A722" s="37">
        <v>714</v>
      </c>
      <c r="B722" s="35" t="s">
        <v>936</v>
      </c>
      <c r="C722" s="38">
        <v>6716</v>
      </c>
      <c r="D722" s="13"/>
    </row>
    <row r="723" spans="1:4" x14ac:dyDescent="0.35">
      <c r="A723" s="37">
        <v>715</v>
      </c>
      <c r="B723" s="35" t="s">
        <v>937</v>
      </c>
      <c r="C723" s="38">
        <v>13386</v>
      </c>
      <c r="D723" s="13"/>
    </row>
    <row r="724" spans="1:4" x14ac:dyDescent="0.35">
      <c r="A724" s="37">
        <v>716</v>
      </c>
      <c r="B724" s="35" t="s">
        <v>938</v>
      </c>
      <c r="C724" s="38">
        <v>30</v>
      </c>
      <c r="D724" s="13"/>
    </row>
    <row r="725" spans="1:4" x14ac:dyDescent="0.35">
      <c r="A725" s="37">
        <v>717</v>
      </c>
      <c r="B725" s="35" t="s">
        <v>939</v>
      </c>
      <c r="C725" s="13"/>
      <c r="D725" s="38">
        <v>53</v>
      </c>
    </row>
    <row r="726" spans="1:4" x14ac:dyDescent="0.35">
      <c r="A726" s="37">
        <v>718</v>
      </c>
      <c r="B726" s="35" t="s">
        <v>940</v>
      </c>
      <c r="C726" s="38">
        <v>1963</v>
      </c>
      <c r="D726" s="13"/>
    </row>
    <row r="727" spans="1:4" x14ac:dyDescent="0.35">
      <c r="A727" s="37">
        <v>719</v>
      </c>
      <c r="B727" s="35" t="s">
        <v>941</v>
      </c>
      <c r="C727" s="13"/>
      <c r="D727" s="38">
        <v>50</v>
      </c>
    </row>
    <row r="728" spans="1:4" x14ac:dyDescent="0.35">
      <c r="A728" s="37">
        <v>720</v>
      </c>
      <c r="B728" s="35" t="s">
        <v>942</v>
      </c>
      <c r="C728" s="38">
        <v>3412</v>
      </c>
      <c r="D728" s="13"/>
    </row>
    <row r="729" spans="1:4" x14ac:dyDescent="0.35">
      <c r="A729" s="37">
        <v>721</v>
      </c>
      <c r="B729" s="35" t="s">
        <v>943</v>
      </c>
      <c r="C729" s="13"/>
      <c r="D729" s="38">
        <v>462</v>
      </c>
    </row>
    <row r="730" spans="1:4" x14ac:dyDescent="0.35">
      <c r="A730" s="37">
        <v>722</v>
      </c>
      <c r="B730" s="35" t="s">
        <v>944</v>
      </c>
      <c r="C730" s="13"/>
      <c r="D730" s="38">
        <v>1529</v>
      </c>
    </row>
    <row r="731" spans="1:4" x14ac:dyDescent="0.35">
      <c r="A731" s="37">
        <v>723</v>
      </c>
      <c r="B731" s="35" t="s">
        <v>945</v>
      </c>
      <c r="C731" s="13"/>
      <c r="D731" s="38">
        <v>1</v>
      </c>
    </row>
    <row r="732" spans="1:4" x14ac:dyDescent="0.35">
      <c r="A732" s="37">
        <v>724</v>
      </c>
      <c r="B732" s="35" t="s">
        <v>946</v>
      </c>
      <c r="C732" s="13"/>
      <c r="D732" s="38">
        <v>235</v>
      </c>
    </row>
    <row r="733" spans="1:4" x14ac:dyDescent="0.35">
      <c r="A733" s="13"/>
      <c r="B733" s="39" t="s">
        <v>947</v>
      </c>
      <c r="C733" s="13"/>
      <c r="D733" s="13"/>
    </row>
    <row r="734" spans="1:4" x14ac:dyDescent="0.35">
      <c r="A734" s="37">
        <v>725</v>
      </c>
      <c r="B734" s="35" t="s">
        <v>948</v>
      </c>
      <c r="C734" s="38">
        <v>1574</v>
      </c>
      <c r="D734" s="13"/>
    </row>
    <row r="735" spans="1:4" x14ac:dyDescent="0.35">
      <c r="A735" s="37">
        <v>726</v>
      </c>
      <c r="B735" s="35" t="s">
        <v>949</v>
      </c>
      <c r="C735" s="38">
        <v>265</v>
      </c>
      <c r="D735" s="13"/>
    </row>
    <row r="736" spans="1:4" x14ac:dyDescent="0.35">
      <c r="A736" s="37">
        <v>727</v>
      </c>
      <c r="B736" s="35" t="s">
        <v>950</v>
      </c>
      <c r="C736" s="38">
        <v>1268</v>
      </c>
      <c r="D736" s="13"/>
    </row>
    <row r="737" spans="1:4" x14ac:dyDescent="0.35">
      <c r="A737" s="37">
        <v>728</v>
      </c>
      <c r="B737" s="35" t="s">
        <v>951</v>
      </c>
      <c r="C737" s="13"/>
      <c r="D737" s="38">
        <v>40</v>
      </c>
    </row>
    <row r="738" spans="1:4" x14ac:dyDescent="0.35">
      <c r="A738" s="37">
        <v>729</v>
      </c>
      <c r="B738" s="35" t="s">
        <v>952</v>
      </c>
      <c r="C738" s="38">
        <v>9892</v>
      </c>
      <c r="D738" s="13"/>
    </row>
    <row r="739" spans="1:4" x14ac:dyDescent="0.35">
      <c r="A739" s="40"/>
      <c r="B739" s="41" t="s">
        <v>953</v>
      </c>
      <c r="C739" s="24">
        <f>SUM(C7:C738)</f>
        <v>9972071.209999999</v>
      </c>
      <c r="D739" s="24">
        <f>SUM(D7:D738)</f>
        <v>768752.07000000018</v>
      </c>
    </row>
    <row r="740" spans="1:4" x14ac:dyDescent="0.35">
      <c r="A740" s="33"/>
      <c r="B740" s="31" t="s">
        <v>954</v>
      </c>
      <c r="C740" s="26">
        <f>C739-D739</f>
        <v>9203319.1399999987</v>
      </c>
      <c r="D740" s="33"/>
    </row>
    <row r="742" spans="1:4" x14ac:dyDescent="0.35">
      <c r="B742" s="36" t="s">
        <v>955</v>
      </c>
    </row>
    <row r="745" spans="1:4" x14ac:dyDescent="0.35">
      <c r="B745" s="21" t="s">
        <v>31</v>
      </c>
      <c r="C745" s="21" t="s">
        <v>32</v>
      </c>
    </row>
    <row r="746" spans="1:4" x14ac:dyDescent="0.35">
      <c r="B746" s="20" t="s">
        <v>33</v>
      </c>
      <c r="C746" s="20" t="s">
        <v>0</v>
      </c>
    </row>
    <row r="747" spans="1:4" x14ac:dyDescent="0.35">
      <c r="B747" s="20" t="s">
        <v>34</v>
      </c>
    </row>
    <row r="748" spans="1:4" x14ac:dyDescent="0.35">
      <c r="B748" s="22" t="s">
        <v>35</v>
      </c>
    </row>
    <row r="752" spans="1:4" x14ac:dyDescent="0.35">
      <c r="C752" s="22" t="s">
        <v>36</v>
      </c>
    </row>
    <row r="753" spans="2:3" x14ac:dyDescent="0.35">
      <c r="C753" s="20" t="s">
        <v>37</v>
      </c>
    </row>
    <row r="754" spans="2:3" x14ac:dyDescent="0.35">
      <c r="B754" s="20" t="s">
        <v>38</v>
      </c>
      <c r="C754" s="22" t="s">
        <v>39</v>
      </c>
    </row>
    <row r="755" spans="2:3" x14ac:dyDescent="0.35">
      <c r="B755" s="22" t="s">
        <v>39</v>
      </c>
    </row>
    <row r="756" spans="2:3" x14ac:dyDescent="0.35">
      <c r="B756" s="22" t="s">
        <v>40</v>
      </c>
      <c r="C756" s="22" t="s">
        <v>36</v>
      </c>
    </row>
    <row r="757" spans="2:3" x14ac:dyDescent="0.35">
      <c r="B757" s="22" t="s">
        <v>41</v>
      </c>
      <c r="C757" s="20" t="s">
        <v>42</v>
      </c>
    </row>
    <row r="758" spans="2:3" x14ac:dyDescent="0.35">
      <c r="B758" s="22" t="s">
        <v>43</v>
      </c>
      <c r="C758" s="22" t="s">
        <v>39</v>
      </c>
    </row>
    <row r="759" spans="2:3" x14ac:dyDescent="0.35">
      <c r="B759" s="22" t="s">
        <v>44</v>
      </c>
    </row>
  </sheetData>
  <mergeCells count="4">
    <mergeCell ref="A1:D1"/>
    <mergeCell ref="A2:D2"/>
    <mergeCell ref="A3:D3"/>
    <mergeCell ref="A4:D4"/>
  </mergeCells>
  <pageMargins left="0.5" right="0.5" top="0.5" bottom="0.5" header="0.511811023622047" footer="0.511811023622047"/>
  <pageSetup paperSize="9" fitToHeight="0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D88"/>
  <sheetViews>
    <sheetView showGridLines="0" topLeftCell="A69" zoomScaleNormal="100" workbookViewId="0">
      <selection activeCell="B80" sqref="B80"/>
    </sheetView>
  </sheetViews>
  <sheetFormatPr defaultColWidth="8.6328125" defaultRowHeight="14.5" x14ac:dyDescent="0.35"/>
  <cols>
    <col min="1" max="1" width="8" customWidth="1"/>
    <col min="2" max="2" width="55" customWidth="1"/>
    <col min="3" max="4" width="18" customWidth="1"/>
  </cols>
  <sheetData>
    <row r="1" spans="1:4" ht="17.399999999999999" customHeight="1" x14ac:dyDescent="0.35">
      <c r="A1" s="9" t="s">
        <v>0</v>
      </c>
      <c r="B1" s="9"/>
      <c r="C1" s="9"/>
      <c r="D1" s="9"/>
    </row>
    <row r="2" spans="1:4" ht="15" customHeight="1" x14ac:dyDescent="0.35">
      <c r="A2" s="8" t="s">
        <v>1</v>
      </c>
      <c r="B2" s="8"/>
      <c r="C2" s="8"/>
      <c r="D2" s="8"/>
    </row>
    <row r="3" spans="1:4" ht="15" customHeight="1" x14ac:dyDescent="0.35">
      <c r="A3" s="7" t="s">
        <v>2</v>
      </c>
      <c r="B3" s="7"/>
      <c r="C3" s="7"/>
      <c r="D3" s="7"/>
    </row>
    <row r="4" spans="1:4" ht="19.5" customHeight="1" x14ac:dyDescent="0.35">
      <c r="A4" s="6" t="s">
        <v>956</v>
      </c>
      <c r="B4" s="6"/>
      <c r="C4" s="6"/>
      <c r="D4" s="6"/>
    </row>
    <row r="5" spans="1:4" x14ac:dyDescent="0.35">
      <c r="D5" s="10" t="s">
        <v>4</v>
      </c>
    </row>
    <row r="6" spans="1:4" ht="30" customHeight="1" x14ac:dyDescent="0.35">
      <c r="A6" s="11" t="s">
        <v>217</v>
      </c>
      <c r="B6" s="11" t="s">
        <v>218</v>
      </c>
      <c r="C6" s="11" t="s">
        <v>219</v>
      </c>
      <c r="D6" s="11" t="s">
        <v>220</v>
      </c>
    </row>
    <row r="7" spans="1:4" x14ac:dyDescent="0.35">
      <c r="A7" s="13"/>
      <c r="B7" s="39" t="s">
        <v>957</v>
      </c>
      <c r="C7" s="13"/>
      <c r="D7" s="13"/>
    </row>
    <row r="8" spans="1:4" x14ac:dyDescent="0.35">
      <c r="A8" s="37">
        <v>1</v>
      </c>
      <c r="B8" s="35" t="s">
        <v>958</v>
      </c>
      <c r="C8" s="13"/>
      <c r="D8" s="38">
        <v>45000</v>
      </c>
    </row>
    <row r="9" spans="1:4" x14ac:dyDescent="0.35">
      <c r="A9" s="37">
        <v>2</v>
      </c>
      <c r="B9" s="35" t="s">
        <v>959</v>
      </c>
      <c r="C9" s="13"/>
      <c r="D9" s="38">
        <v>2</v>
      </c>
    </row>
    <row r="10" spans="1:4" x14ac:dyDescent="0.35">
      <c r="A10" s="37">
        <v>3</v>
      </c>
      <c r="B10" s="35" t="s">
        <v>960</v>
      </c>
      <c r="C10" s="38">
        <v>1</v>
      </c>
      <c r="D10" s="13"/>
    </row>
    <row r="11" spans="1:4" x14ac:dyDescent="0.35">
      <c r="A11" s="37">
        <v>4</v>
      </c>
      <c r="B11" s="35" t="s">
        <v>961</v>
      </c>
      <c r="C11" s="13"/>
      <c r="D11" s="38">
        <v>671850</v>
      </c>
    </row>
    <row r="12" spans="1:4" x14ac:dyDescent="0.35">
      <c r="A12" s="37">
        <v>5</v>
      </c>
      <c r="B12" s="35" t="s">
        <v>962</v>
      </c>
      <c r="C12" s="38">
        <v>1550</v>
      </c>
      <c r="D12" s="13"/>
    </row>
    <row r="13" spans="1:4" x14ac:dyDescent="0.35">
      <c r="A13" s="37">
        <v>6</v>
      </c>
      <c r="B13" s="35" t="s">
        <v>963</v>
      </c>
      <c r="C13" s="38">
        <v>4838.37</v>
      </c>
      <c r="D13" s="13"/>
    </row>
    <row r="14" spans="1:4" x14ac:dyDescent="0.35">
      <c r="A14" s="37">
        <v>7</v>
      </c>
      <c r="B14" s="35" t="s">
        <v>964</v>
      </c>
      <c r="C14" s="38">
        <v>0.36</v>
      </c>
      <c r="D14" s="13"/>
    </row>
    <row r="15" spans="1:4" x14ac:dyDescent="0.35">
      <c r="A15" s="37">
        <v>8</v>
      </c>
      <c r="B15" s="35" t="s">
        <v>965</v>
      </c>
      <c r="C15" s="13"/>
      <c r="D15" s="38">
        <v>0.44</v>
      </c>
    </row>
    <row r="16" spans="1:4" x14ac:dyDescent="0.35">
      <c r="A16" s="37">
        <v>9</v>
      </c>
      <c r="B16" s="35" t="s">
        <v>966</v>
      </c>
      <c r="C16" s="38">
        <v>46134.92</v>
      </c>
      <c r="D16" s="13"/>
    </row>
    <row r="17" spans="1:4" x14ac:dyDescent="0.35">
      <c r="A17" s="37">
        <v>10</v>
      </c>
      <c r="B17" s="35" t="s">
        <v>967</v>
      </c>
      <c r="C17" s="13"/>
      <c r="D17" s="38">
        <v>408036</v>
      </c>
    </row>
    <row r="18" spans="1:4" x14ac:dyDescent="0.35">
      <c r="A18" s="37">
        <v>11</v>
      </c>
      <c r="B18" s="35" t="s">
        <v>968</v>
      </c>
      <c r="C18" s="13"/>
      <c r="D18" s="38">
        <v>161036</v>
      </c>
    </row>
    <row r="19" spans="1:4" x14ac:dyDescent="0.35">
      <c r="A19" s="37">
        <v>12</v>
      </c>
      <c r="B19" s="35" t="s">
        <v>969</v>
      </c>
      <c r="C19" s="13"/>
      <c r="D19" s="38">
        <v>117404</v>
      </c>
    </row>
    <row r="20" spans="1:4" x14ac:dyDescent="0.35">
      <c r="A20" s="37">
        <v>13</v>
      </c>
      <c r="B20" s="35" t="s">
        <v>970</v>
      </c>
      <c r="C20" s="38">
        <v>20719</v>
      </c>
      <c r="D20" s="13"/>
    </row>
    <row r="21" spans="1:4" x14ac:dyDescent="0.35">
      <c r="A21" s="37">
        <v>14</v>
      </c>
      <c r="B21" s="35" t="s">
        <v>971</v>
      </c>
      <c r="C21" s="38">
        <v>1</v>
      </c>
      <c r="D21" s="13"/>
    </row>
    <row r="22" spans="1:4" x14ac:dyDescent="0.35">
      <c r="A22" s="37">
        <v>15</v>
      </c>
      <c r="B22" s="35" t="s">
        <v>972</v>
      </c>
      <c r="C22" s="38">
        <v>489</v>
      </c>
      <c r="D22" s="13"/>
    </row>
    <row r="23" spans="1:4" x14ac:dyDescent="0.35">
      <c r="A23" s="37">
        <v>16</v>
      </c>
      <c r="B23" s="35" t="s">
        <v>973</v>
      </c>
      <c r="C23" s="38">
        <v>1</v>
      </c>
      <c r="D23" s="13"/>
    </row>
    <row r="24" spans="1:4" x14ac:dyDescent="0.35">
      <c r="A24" s="37">
        <v>17</v>
      </c>
      <c r="B24" s="35" t="s">
        <v>974</v>
      </c>
      <c r="C24" s="38">
        <v>27500</v>
      </c>
      <c r="D24" s="13"/>
    </row>
    <row r="25" spans="1:4" x14ac:dyDescent="0.35">
      <c r="A25" s="37">
        <v>18</v>
      </c>
      <c r="B25" s="35" t="s">
        <v>975</v>
      </c>
      <c r="C25" s="38">
        <v>5878</v>
      </c>
      <c r="D25" s="13"/>
    </row>
    <row r="26" spans="1:4" x14ac:dyDescent="0.35">
      <c r="A26" s="37">
        <v>19</v>
      </c>
      <c r="B26" s="35" t="s">
        <v>976</v>
      </c>
      <c r="C26" s="38">
        <v>196</v>
      </c>
      <c r="D26" s="13"/>
    </row>
    <row r="27" spans="1:4" x14ac:dyDescent="0.35">
      <c r="A27" s="37">
        <v>20</v>
      </c>
      <c r="B27" s="35" t="s">
        <v>977</v>
      </c>
      <c r="C27" s="13"/>
      <c r="D27" s="38">
        <v>31346</v>
      </c>
    </row>
    <row r="28" spans="1:4" x14ac:dyDescent="0.35">
      <c r="A28" s="37">
        <v>21</v>
      </c>
      <c r="B28" s="35" t="s">
        <v>978</v>
      </c>
      <c r="C28" s="38">
        <v>3321</v>
      </c>
      <c r="D28" s="13"/>
    </row>
    <row r="29" spans="1:4" x14ac:dyDescent="0.35">
      <c r="A29" s="37">
        <v>22</v>
      </c>
      <c r="B29" s="35" t="s">
        <v>979</v>
      </c>
      <c r="C29" s="13"/>
      <c r="D29" s="38">
        <v>1577377.2</v>
      </c>
    </row>
    <row r="30" spans="1:4" x14ac:dyDescent="0.35">
      <c r="A30" s="37">
        <v>23</v>
      </c>
      <c r="B30" s="35" t="s">
        <v>980</v>
      </c>
      <c r="C30" s="38">
        <v>6000</v>
      </c>
      <c r="D30" s="13"/>
    </row>
    <row r="31" spans="1:4" x14ac:dyDescent="0.35">
      <c r="A31" s="37">
        <v>24</v>
      </c>
      <c r="B31" s="35" t="s">
        <v>981</v>
      </c>
      <c r="C31" s="38">
        <v>590.70000000000005</v>
      </c>
      <c r="D31" s="13"/>
    </row>
    <row r="32" spans="1:4" x14ac:dyDescent="0.35">
      <c r="A32" s="37">
        <v>25</v>
      </c>
      <c r="B32" s="35" t="s">
        <v>982</v>
      </c>
      <c r="C32" s="38">
        <v>774270.59</v>
      </c>
      <c r="D32" s="13"/>
    </row>
    <row r="33" spans="1:4" x14ac:dyDescent="0.35">
      <c r="A33" s="37">
        <v>26</v>
      </c>
      <c r="B33" s="35" t="s">
        <v>983</v>
      </c>
      <c r="C33" s="38">
        <v>0.01</v>
      </c>
      <c r="D33" s="13"/>
    </row>
    <row r="34" spans="1:4" x14ac:dyDescent="0.35">
      <c r="A34" s="37">
        <v>27</v>
      </c>
      <c r="B34" s="35" t="s">
        <v>984</v>
      </c>
      <c r="C34" s="38">
        <v>6582</v>
      </c>
      <c r="D34" s="13"/>
    </row>
    <row r="35" spans="1:4" x14ac:dyDescent="0.35">
      <c r="A35" s="37">
        <v>28</v>
      </c>
      <c r="B35" s="35" t="s">
        <v>985</v>
      </c>
      <c r="C35" s="38">
        <v>17064</v>
      </c>
      <c r="D35" s="13"/>
    </row>
    <row r="36" spans="1:4" x14ac:dyDescent="0.35">
      <c r="A36" s="37">
        <v>29</v>
      </c>
      <c r="B36" s="35" t="s">
        <v>986</v>
      </c>
      <c r="C36" s="13"/>
      <c r="D36" s="38">
        <v>6226</v>
      </c>
    </row>
    <row r="37" spans="1:4" x14ac:dyDescent="0.35">
      <c r="A37" s="37">
        <v>30</v>
      </c>
      <c r="B37" s="35" t="s">
        <v>987</v>
      </c>
      <c r="C37" s="38">
        <v>1</v>
      </c>
      <c r="D37" s="13"/>
    </row>
    <row r="38" spans="1:4" x14ac:dyDescent="0.35">
      <c r="A38" s="37">
        <v>31</v>
      </c>
      <c r="B38" s="35" t="s">
        <v>988</v>
      </c>
      <c r="C38" s="38">
        <v>19715</v>
      </c>
      <c r="D38" s="13"/>
    </row>
    <row r="39" spans="1:4" x14ac:dyDescent="0.35">
      <c r="A39" s="37">
        <v>32</v>
      </c>
      <c r="B39" s="35" t="s">
        <v>989</v>
      </c>
      <c r="C39" s="13"/>
      <c r="D39" s="38">
        <v>1</v>
      </c>
    </row>
    <row r="40" spans="1:4" x14ac:dyDescent="0.35">
      <c r="A40" s="37">
        <v>33</v>
      </c>
      <c r="B40" s="35" t="s">
        <v>990</v>
      </c>
      <c r="C40" s="38">
        <v>12399.99</v>
      </c>
      <c r="D40" s="13"/>
    </row>
    <row r="41" spans="1:4" x14ac:dyDescent="0.35">
      <c r="A41" s="37">
        <v>34</v>
      </c>
      <c r="B41" s="35" t="s">
        <v>991</v>
      </c>
      <c r="C41" s="38">
        <v>14695</v>
      </c>
      <c r="D41" s="13"/>
    </row>
    <row r="42" spans="1:4" x14ac:dyDescent="0.35">
      <c r="A42" s="37">
        <v>35</v>
      </c>
      <c r="B42" s="35" t="s">
        <v>992</v>
      </c>
      <c r="C42" s="38">
        <v>0.22</v>
      </c>
      <c r="D42" s="13"/>
    </row>
    <row r="43" spans="1:4" x14ac:dyDescent="0.35">
      <c r="A43" s="37">
        <v>36</v>
      </c>
      <c r="B43" s="35" t="s">
        <v>993</v>
      </c>
      <c r="C43" s="13"/>
      <c r="D43" s="38">
        <v>0.52</v>
      </c>
    </row>
    <row r="44" spans="1:4" x14ac:dyDescent="0.35">
      <c r="A44" s="37">
        <v>37</v>
      </c>
      <c r="B44" s="35" t="s">
        <v>994</v>
      </c>
      <c r="C44" s="13"/>
      <c r="D44" s="38">
        <v>248912.69</v>
      </c>
    </row>
    <row r="45" spans="1:4" x14ac:dyDescent="0.35">
      <c r="A45" s="37">
        <v>38</v>
      </c>
      <c r="B45" s="35" t="s">
        <v>995</v>
      </c>
      <c r="C45" s="38">
        <v>93373.6</v>
      </c>
      <c r="D45" s="13"/>
    </row>
    <row r="46" spans="1:4" x14ac:dyDescent="0.35">
      <c r="A46" s="37">
        <v>39</v>
      </c>
      <c r="B46" s="35" t="s">
        <v>996</v>
      </c>
      <c r="C46" s="13"/>
      <c r="D46" s="38">
        <v>1340667</v>
      </c>
    </row>
    <row r="47" spans="1:4" x14ac:dyDescent="0.35">
      <c r="A47" s="37">
        <v>40</v>
      </c>
      <c r="B47" s="35" t="s">
        <v>997</v>
      </c>
      <c r="C47" s="13"/>
      <c r="D47" s="38">
        <v>0.24</v>
      </c>
    </row>
    <row r="48" spans="1:4" x14ac:dyDescent="0.35">
      <c r="A48" s="37">
        <v>41</v>
      </c>
      <c r="B48" s="35" t="s">
        <v>998</v>
      </c>
      <c r="C48" s="13"/>
      <c r="D48" s="38">
        <v>8535</v>
      </c>
    </row>
    <row r="49" spans="1:4" x14ac:dyDescent="0.35">
      <c r="A49" s="37">
        <v>42</v>
      </c>
      <c r="B49" s="35" t="s">
        <v>999</v>
      </c>
      <c r="C49" s="38">
        <v>8000</v>
      </c>
      <c r="D49" s="13"/>
    </row>
    <row r="50" spans="1:4" x14ac:dyDescent="0.35">
      <c r="A50" s="37">
        <v>43</v>
      </c>
      <c r="B50" s="35" t="s">
        <v>1000</v>
      </c>
      <c r="C50" s="13"/>
      <c r="D50" s="38">
        <v>3338.69</v>
      </c>
    </row>
    <row r="51" spans="1:4" x14ac:dyDescent="0.35">
      <c r="A51" s="37">
        <v>44</v>
      </c>
      <c r="B51" s="35" t="s">
        <v>1001</v>
      </c>
      <c r="C51" s="38">
        <v>0.37</v>
      </c>
      <c r="D51" s="13"/>
    </row>
    <row r="52" spans="1:4" x14ac:dyDescent="0.35">
      <c r="A52" s="37">
        <v>45</v>
      </c>
      <c r="B52" s="35" t="s">
        <v>1002</v>
      </c>
      <c r="C52" s="13"/>
      <c r="D52" s="38">
        <v>377221</v>
      </c>
    </row>
    <row r="53" spans="1:4" x14ac:dyDescent="0.35">
      <c r="A53" s="37">
        <v>46</v>
      </c>
      <c r="B53" s="35" t="s">
        <v>1003</v>
      </c>
      <c r="C53" s="38">
        <v>1</v>
      </c>
      <c r="D53" s="13"/>
    </row>
    <row r="54" spans="1:4" x14ac:dyDescent="0.35">
      <c r="A54" s="37">
        <v>47</v>
      </c>
      <c r="B54" s="35" t="s">
        <v>1004</v>
      </c>
      <c r="C54" s="13"/>
      <c r="D54" s="38">
        <v>434161</v>
      </c>
    </row>
    <row r="55" spans="1:4" x14ac:dyDescent="0.35">
      <c r="A55" s="37">
        <v>48</v>
      </c>
      <c r="B55" s="35" t="s">
        <v>1005</v>
      </c>
      <c r="C55" s="13"/>
      <c r="D55" s="38">
        <v>4278</v>
      </c>
    </row>
    <row r="56" spans="1:4" x14ac:dyDescent="0.35">
      <c r="A56" s="37">
        <v>49</v>
      </c>
      <c r="B56" s="35" t="s">
        <v>1006</v>
      </c>
      <c r="C56" s="38">
        <v>1</v>
      </c>
      <c r="D56" s="13"/>
    </row>
    <row r="57" spans="1:4" x14ac:dyDescent="0.35">
      <c r="A57" s="37">
        <v>50</v>
      </c>
      <c r="B57" s="35" t="s">
        <v>1007</v>
      </c>
      <c r="C57" s="38">
        <v>1</v>
      </c>
      <c r="D57" s="13"/>
    </row>
    <row r="58" spans="1:4" x14ac:dyDescent="0.35">
      <c r="A58" s="37">
        <v>51</v>
      </c>
      <c r="B58" s="35" t="s">
        <v>1008</v>
      </c>
      <c r="C58" s="38">
        <v>10681.69</v>
      </c>
      <c r="D58" s="13"/>
    </row>
    <row r="59" spans="1:4" x14ac:dyDescent="0.35">
      <c r="A59" s="37">
        <v>52</v>
      </c>
      <c r="B59" s="35" t="s">
        <v>1009</v>
      </c>
      <c r="C59" s="13"/>
      <c r="D59" s="38">
        <v>544793</v>
      </c>
    </row>
    <row r="60" spans="1:4" x14ac:dyDescent="0.35">
      <c r="A60" s="37">
        <v>53</v>
      </c>
      <c r="B60" s="35" t="s">
        <v>1010</v>
      </c>
      <c r="C60" s="13"/>
      <c r="D60" s="38">
        <v>764867</v>
      </c>
    </row>
    <row r="61" spans="1:4" x14ac:dyDescent="0.35">
      <c r="A61" s="37">
        <v>54</v>
      </c>
      <c r="B61" s="35" t="s">
        <v>1011</v>
      </c>
      <c r="C61" s="38">
        <v>257625.60000000001</v>
      </c>
      <c r="D61" s="13"/>
    </row>
    <row r="62" spans="1:4" x14ac:dyDescent="0.35">
      <c r="A62" s="37">
        <v>55</v>
      </c>
      <c r="B62" s="35" t="s">
        <v>1012</v>
      </c>
      <c r="C62" s="13"/>
      <c r="D62" s="38">
        <v>0.98</v>
      </c>
    </row>
    <row r="63" spans="1:4" x14ac:dyDescent="0.35">
      <c r="A63" s="37">
        <v>56</v>
      </c>
      <c r="B63" s="35" t="s">
        <v>1013</v>
      </c>
      <c r="C63" s="13"/>
      <c r="D63" s="38">
        <v>6301</v>
      </c>
    </row>
    <row r="64" spans="1:4" x14ac:dyDescent="0.35">
      <c r="A64" s="37">
        <v>57</v>
      </c>
      <c r="B64" s="35" t="s">
        <v>1014</v>
      </c>
      <c r="C64" s="13"/>
      <c r="D64" s="38">
        <v>0.01</v>
      </c>
    </row>
    <row r="65" spans="1:4" x14ac:dyDescent="0.35">
      <c r="A65" s="37">
        <v>58</v>
      </c>
      <c r="B65" s="35" t="s">
        <v>1015</v>
      </c>
      <c r="C65" s="38">
        <v>52865</v>
      </c>
      <c r="D65" s="13"/>
    </row>
    <row r="66" spans="1:4" x14ac:dyDescent="0.35">
      <c r="A66" s="37">
        <v>59</v>
      </c>
      <c r="B66" s="35" t="s">
        <v>1016</v>
      </c>
      <c r="C66" s="38">
        <v>5500</v>
      </c>
      <c r="D66" s="13"/>
    </row>
    <row r="67" spans="1:4" x14ac:dyDescent="0.35">
      <c r="A67" s="37">
        <v>60</v>
      </c>
      <c r="B67" s="35" t="s">
        <v>1017</v>
      </c>
      <c r="C67" s="13"/>
      <c r="D67" s="38">
        <v>103964.87</v>
      </c>
    </row>
    <row r="68" spans="1:4" x14ac:dyDescent="0.35">
      <c r="A68" s="40"/>
      <c r="B68" s="41" t="s">
        <v>953</v>
      </c>
      <c r="C68" s="24">
        <f>SUM(C7:C67)</f>
        <v>1389997.4200000002</v>
      </c>
      <c r="D68" s="24">
        <f>SUM(D7:D67)</f>
        <v>6855319.6400000006</v>
      </c>
    </row>
    <row r="69" spans="1:4" x14ac:dyDescent="0.35">
      <c r="A69" s="33"/>
      <c r="B69" s="31" t="s">
        <v>954</v>
      </c>
      <c r="C69" s="33"/>
      <c r="D69" s="26">
        <f>D68-C68</f>
        <v>5465322.2200000007</v>
      </c>
    </row>
    <row r="71" spans="1:4" x14ac:dyDescent="0.35">
      <c r="B71" s="36" t="s">
        <v>1018</v>
      </c>
    </row>
    <row r="74" spans="1:4" x14ac:dyDescent="0.35">
      <c r="B74" s="21" t="s">
        <v>31</v>
      </c>
      <c r="C74" s="21" t="s">
        <v>32</v>
      </c>
    </row>
    <row r="75" spans="1:4" x14ac:dyDescent="0.35">
      <c r="B75" s="20" t="s">
        <v>33</v>
      </c>
      <c r="C75" s="20" t="s">
        <v>0</v>
      </c>
    </row>
    <row r="76" spans="1:4" x14ac:dyDescent="0.35">
      <c r="B76" s="20" t="s">
        <v>34</v>
      </c>
    </row>
    <row r="77" spans="1:4" x14ac:dyDescent="0.35">
      <c r="B77" s="22" t="s">
        <v>35</v>
      </c>
    </row>
    <row r="81" spans="2:3" x14ac:dyDescent="0.35">
      <c r="C81" s="22" t="s">
        <v>36</v>
      </c>
    </row>
    <row r="82" spans="2:3" x14ac:dyDescent="0.35">
      <c r="C82" s="20" t="s">
        <v>37</v>
      </c>
    </row>
    <row r="83" spans="2:3" x14ac:dyDescent="0.35">
      <c r="B83" s="20" t="s">
        <v>38</v>
      </c>
      <c r="C83" s="22" t="s">
        <v>39</v>
      </c>
    </row>
    <row r="84" spans="2:3" x14ac:dyDescent="0.35">
      <c r="B84" s="22" t="s">
        <v>39</v>
      </c>
    </row>
    <row r="85" spans="2:3" x14ac:dyDescent="0.35">
      <c r="B85" s="22" t="s">
        <v>40</v>
      </c>
      <c r="C85" s="22" t="s">
        <v>36</v>
      </c>
    </row>
    <row r="86" spans="2:3" x14ac:dyDescent="0.35">
      <c r="B86" s="22" t="s">
        <v>41</v>
      </c>
      <c r="C86" s="20" t="s">
        <v>42</v>
      </c>
    </row>
    <row r="87" spans="2:3" x14ac:dyDescent="0.35">
      <c r="B87" s="22" t="s">
        <v>43</v>
      </c>
      <c r="C87" s="22" t="s">
        <v>39</v>
      </c>
    </row>
    <row r="88" spans="2:3" x14ac:dyDescent="0.35">
      <c r="B88" s="22" t="s">
        <v>44</v>
      </c>
    </row>
  </sheetData>
  <mergeCells count="4">
    <mergeCell ref="A1:D1"/>
    <mergeCell ref="A2:D2"/>
    <mergeCell ref="A3:D3"/>
    <mergeCell ref="A4:D4"/>
  </mergeCells>
  <pageMargins left="0.5" right="0.5" top="0.5" bottom="0.5" header="0.511811023622047" footer="0.511811023622047"/>
  <pageSetup paperSize="9" fitToHeight="0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C71"/>
  <sheetViews>
    <sheetView showGridLines="0" zoomScaleNormal="100" workbookViewId="0">
      <selection activeCell="B9" sqref="B9"/>
    </sheetView>
  </sheetViews>
  <sheetFormatPr defaultColWidth="8.6328125" defaultRowHeight="14.5" x14ac:dyDescent="0.35"/>
  <cols>
    <col min="1" max="1" width="8" customWidth="1"/>
    <col min="2" max="2" width="58" customWidth="1"/>
    <col min="3" max="3" width="20" customWidth="1"/>
  </cols>
  <sheetData>
    <row r="1" spans="1:3" ht="17.399999999999999" customHeight="1" x14ac:dyDescent="0.35">
      <c r="A1" s="9" t="s">
        <v>0</v>
      </c>
      <c r="B1" s="9"/>
      <c r="C1" s="9"/>
    </row>
    <row r="2" spans="1:3" x14ac:dyDescent="0.35">
      <c r="A2" s="8" t="s">
        <v>1</v>
      </c>
      <c r="B2" s="8"/>
      <c r="C2" s="8"/>
    </row>
    <row r="3" spans="1:3" x14ac:dyDescent="0.35">
      <c r="A3" s="7" t="s">
        <v>2</v>
      </c>
      <c r="B3" s="7"/>
      <c r="C3" s="7"/>
    </row>
    <row r="4" spans="1:3" ht="33" customHeight="1" x14ac:dyDescent="0.35">
      <c r="A4" s="6" t="s">
        <v>1019</v>
      </c>
      <c r="B4" s="6"/>
      <c r="C4" s="6"/>
    </row>
    <row r="5" spans="1:3" x14ac:dyDescent="0.35">
      <c r="C5" s="10" t="s">
        <v>4</v>
      </c>
    </row>
    <row r="6" spans="1:3" x14ac:dyDescent="0.35">
      <c r="A6" s="34" t="s">
        <v>1020</v>
      </c>
    </row>
    <row r="7" spans="1:3" ht="30" customHeight="1" x14ac:dyDescent="0.35">
      <c r="A7" s="11" t="s">
        <v>217</v>
      </c>
      <c r="B7" s="11" t="s">
        <v>1021</v>
      </c>
      <c r="C7" s="11" t="s">
        <v>1022</v>
      </c>
    </row>
    <row r="8" spans="1:3" x14ac:dyDescent="0.35">
      <c r="A8" s="17">
        <v>1</v>
      </c>
      <c r="B8" s="16" t="s">
        <v>1023</v>
      </c>
      <c r="C8" s="23">
        <v>405500</v>
      </c>
    </row>
    <row r="9" spans="1:3" x14ac:dyDescent="0.35">
      <c r="A9" s="17">
        <v>2</v>
      </c>
      <c r="B9" s="16" t="s">
        <v>1024</v>
      </c>
      <c r="C9" s="23">
        <v>600000</v>
      </c>
    </row>
    <row r="10" spans="1:3" x14ac:dyDescent="0.35">
      <c r="A10" s="17">
        <v>3</v>
      </c>
      <c r="B10" s="16" t="s">
        <v>1025</v>
      </c>
      <c r="C10" s="23">
        <v>250000</v>
      </c>
    </row>
    <row r="11" spans="1:3" x14ac:dyDescent="0.35">
      <c r="A11" s="17">
        <v>4</v>
      </c>
      <c r="B11" s="16" t="s">
        <v>1026</v>
      </c>
      <c r="C11" s="23">
        <v>37267</v>
      </c>
    </row>
    <row r="12" spans="1:3" x14ac:dyDescent="0.35">
      <c r="A12" s="33"/>
      <c r="B12" s="31" t="s">
        <v>953</v>
      </c>
      <c r="C12" s="26">
        <f>SUM(C8:C11)</f>
        <v>1292767</v>
      </c>
    </row>
    <row r="15" spans="1:3" x14ac:dyDescent="0.35">
      <c r="A15" s="34" t="s">
        <v>1027</v>
      </c>
    </row>
    <row r="16" spans="1:3" ht="30" customHeight="1" x14ac:dyDescent="0.35">
      <c r="A16" s="11" t="s">
        <v>217</v>
      </c>
      <c r="B16" s="11" t="s">
        <v>218</v>
      </c>
      <c r="C16" s="11" t="s">
        <v>1022</v>
      </c>
    </row>
    <row r="17" spans="1:3" x14ac:dyDescent="0.35">
      <c r="A17" s="37">
        <v>1</v>
      </c>
      <c r="B17" s="35" t="s">
        <v>1028</v>
      </c>
      <c r="C17" s="38">
        <v>57000</v>
      </c>
    </row>
    <row r="18" spans="1:3" x14ac:dyDescent="0.35">
      <c r="A18" s="37">
        <v>2</v>
      </c>
      <c r="B18" s="35" t="s">
        <v>1029</v>
      </c>
      <c r="C18" s="38">
        <v>4535</v>
      </c>
    </row>
    <row r="19" spans="1:3" x14ac:dyDescent="0.35">
      <c r="A19" s="37">
        <v>3</v>
      </c>
      <c r="B19" s="35" t="s">
        <v>1030</v>
      </c>
      <c r="C19" s="38">
        <v>15770</v>
      </c>
    </row>
    <row r="20" spans="1:3" x14ac:dyDescent="0.35">
      <c r="A20" s="37">
        <v>4</v>
      </c>
      <c r="B20" s="35" t="s">
        <v>1031</v>
      </c>
      <c r="C20" s="38">
        <v>4000</v>
      </c>
    </row>
    <row r="21" spans="1:3" x14ac:dyDescent="0.35">
      <c r="A21" s="37">
        <v>5</v>
      </c>
      <c r="B21" s="35" t="s">
        <v>1032</v>
      </c>
      <c r="C21" s="38">
        <v>19848</v>
      </c>
    </row>
    <row r="22" spans="1:3" x14ac:dyDescent="0.35">
      <c r="A22" s="37">
        <v>6</v>
      </c>
      <c r="B22" s="35" t="s">
        <v>1033</v>
      </c>
      <c r="C22" s="38">
        <v>4530</v>
      </c>
    </row>
    <row r="23" spans="1:3" x14ac:dyDescent="0.35">
      <c r="A23" s="37">
        <v>7</v>
      </c>
      <c r="B23" s="35" t="s">
        <v>1034</v>
      </c>
      <c r="C23" s="38">
        <v>6002</v>
      </c>
    </row>
    <row r="24" spans="1:3" x14ac:dyDescent="0.35">
      <c r="A24" s="37">
        <v>8</v>
      </c>
      <c r="B24" s="35" t="s">
        <v>1035</v>
      </c>
      <c r="C24" s="38">
        <v>9550</v>
      </c>
    </row>
    <row r="25" spans="1:3" x14ac:dyDescent="0.35">
      <c r="A25" s="37">
        <v>9</v>
      </c>
      <c r="B25" s="35" t="s">
        <v>1036</v>
      </c>
      <c r="C25" s="38">
        <v>7385</v>
      </c>
    </row>
    <row r="26" spans="1:3" x14ac:dyDescent="0.35">
      <c r="A26" s="37">
        <v>10</v>
      </c>
      <c r="B26" s="35" t="s">
        <v>1037</v>
      </c>
      <c r="C26" s="38">
        <v>19000</v>
      </c>
    </row>
    <row r="27" spans="1:3" x14ac:dyDescent="0.35">
      <c r="A27" s="37">
        <v>11</v>
      </c>
      <c r="B27" s="35" t="s">
        <v>1038</v>
      </c>
      <c r="C27" s="38">
        <v>6000</v>
      </c>
    </row>
    <row r="28" spans="1:3" x14ac:dyDescent="0.35">
      <c r="A28" s="37">
        <v>12</v>
      </c>
      <c r="B28" s="35" t="s">
        <v>1039</v>
      </c>
      <c r="C28" s="38">
        <v>2000</v>
      </c>
    </row>
    <row r="29" spans="1:3" x14ac:dyDescent="0.35">
      <c r="A29" s="37">
        <v>13</v>
      </c>
      <c r="B29" s="35" t="s">
        <v>1040</v>
      </c>
      <c r="C29" s="38">
        <v>2000</v>
      </c>
    </row>
    <row r="30" spans="1:3" x14ac:dyDescent="0.35">
      <c r="A30" s="37">
        <v>14</v>
      </c>
      <c r="B30" s="35" t="s">
        <v>1041</v>
      </c>
      <c r="C30" s="38">
        <v>100000</v>
      </c>
    </row>
    <row r="31" spans="1:3" x14ac:dyDescent="0.35">
      <c r="A31" s="37">
        <v>15</v>
      </c>
      <c r="B31" s="35" t="s">
        <v>1042</v>
      </c>
      <c r="C31" s="38">
        <v>10000</v>
      </c>
    </row>
    <row r="32" spans="1:3" x14ac:dyDescent="0.35">
      <c r="A32" s="37">
        <v>16</v>
      </c>
      <c r="B32" s="35" t="s">
        <v>1043</v>
      </c>
      <c r="C32" s="38">
        <v>10000</v>
      </c>
    </row>
    <row r="33" spans="1:3" x14ac:dyDescent="0.35">
      <c r="A33" s="37">
        <v>17</v>
      </c>
      <c r="B33" s="35" t="s">
        <v>1044</v>
      </c>
      <c r="C33" s="38">
        <v>100000</v>
      </c>
    </row>
    <row r="34" spans="1:3" x14ac:dyDescent="0.35">
      <c r="A34" s="37">
        <v>18</v>
      </c>
      <c r="B34" s="35" t="s">
        <v>1045</v>
      </c>
      <c r="C34" s="38">
        <v>99000</v>
      </c>
    </row>
    <row r="35" spans="1:3" x14ac:dyDescent="0.35">
      <c r="A35" s="37">
        <v>19</v>
      </c>
      <c r="B35" s="35" t="s">
        <v>1046</v>
      </c>
      <c r="C35" s="38">
        <v>300000</v>
      </c>
    </row>
    <row r="36" spans="1:3" x14ac:dyDescent="0.35">
      <c r="A36" s="37">
        <v>20</v>
      </c>
      <c r="B36" s="35" t="s">
        <v>1047</v>
      </c>
      <c r="C36" s="38">
        <v>25000</v>
      </c>
    </row>
    <row r="37" spans="1:3" x14ac:dyDescent="0.35">
      <c r="A37" s="37">
        <v>21</v>
      </c>
      <c r="B37" s="35" t="s">
        <v>1048</v>
      </c>
      <c r="C37" s="38">
        <v>-29000</v>
      </c>
    </row>
    <row r="38" spans="1:3" x14ac:dyDescent="0.35">
      <c r="A38" s="37">
        <v>22</v>
      </c>
      <c r="B38" s="35" t="s">
        <v>1049</v>
      </c>
      <c r="C38" s="38">
        <v>21000</v>
      </c>
    </row>
    <row r="39" spans="1:3" x14ac:dyDescent="0.35">
      <c r="A39" s="37">
        <v>23</v>
      </c>
      <c r="B39" s="35" t="s">
        <v>1050</v>
      </c>
      <c r="C39" s="38">
        <v>100000</v>
      </c>
    </row>
    <row r="40" spans="1:3" x14ac:dyDescent="0.35">
      <c r="A40" s="37">
        <v>24</v>
      </c>
      <c r="B40" s="35" t="s">
        <v>1051</v>
      </c>
      <c r="C40" s="38">
        <v>-10</v>
      </c>
    </row>
    <row r="41" spans="1:3" x14ac:dyDescent="0.35">
      <c r="A41" s="37">
        <v>25</v>
      </c>
      <c r="B41" s="35" t="s">
        <v>1052</v>
      </c>
      <c r="C41" s="38">
        <v>5000</v>
      </c>
    </row>
    <row r="42" spans="1:3" x14ac:dyDescent="0.35">
      <c r="A42" s="37">
        <v>26</v>
      </c>
      <c r="B42" s="35" t="s">
        <v>1053</v>
      </c>
      <c r="C42" s="38">
        <v>13000</v>
      </c>
    </row>
    <row r="43" spans="1:3" x14ac:dyDescent="0.35">
      <c r="A43" s="37">
        <v>27</v>
      </c>
      <c r="B43" s="35" t="s">
        <v>1054</v>
      </c>
      <c r="C43" s="38">
        <v>10000</v>
      </c>
    </row>
    <row r="44" spans="1:3" x14ac:dyDescent="0.35">
      <c r="A44" s="37">
        <v>28</v>
      </c>
      <c r="B44" s="35" t="s">
        <v>1055</v>
      </c>
      <c r="C44" s="38">
        <v>20000</v>
      </c>
    </row>
    <row r="45" spans="1:3" x14ac:dyDescent="0.35">
      <c r="A45" s="37">
        <v>29</v>
      </c>
      <c r="B45" s="35" t="s">
        <v>1056</v>
      </c>
      <c r="C45" s="38">
        <v>1500</v>
      </c>
    </row>
    <row r="46" spans="1:3" x14ac:dyDescent="0.35">
      <c r="A46" s="37">
        <v>30</v>
      </c>
      <c r="B46" s="35" t="s">
        <v>1057</v>
      </c>
      <c r="C46" s="38">
        <v>100000</v>
      </c>
    </row>
    <row r="47" spans="1:3" x14ac:dyDescent="0.35">
      <c r="A47" s="37">
        <v>31</v>
      </c>
      <c r="B47" s="35" t="s">
        <v>1058</v>
      </c>
      <c r="C47" s="38">
        <v>13000</v>
      </c>
    </row>
    <row r="48" spans="1:3" x14ac:dyDescent="0.35">
      <c r="A48" s="37">
        <v>32</v>
      </c>
      <c r="B48" s="35" t="s">
        <v>1059</v>
      </c>
      <c r="C48" s="38">
        <v>11000</v>
      </c>
    </row>
    <row r="49" spans="1:3" x14ac:dyDescent="0.35">
      <c r="A49" s="37">
        <v>33</v>
      </c>
      <c r="B49" s="35" t="s">
        <v>1060</v>
      </c>
      <c r="C49" s="38">
        <v>30000</v>
      </c>
    </row>
    <row r="50" spans="1:3" x14ac:dyDescent="0.35">
      <c r="A50" s="37">
        <v>34</v>
      </c>
      <c r="B50" s="35" t="s">
        <v>1061</v>
      </c>
      <c r="C50" s="38">
        <v>500</v>
      </c>
    </row>
    <row r="51" spans="1:3" x14ac:dyDescent="0.35">
      <c r="A51" s="37">
        <v>35</v>
      </c>
      <c r="B51" s="35" t="s">
        <v>1062</v>
      </c>
      <c r="C51" s="38">
        <v>5000</v>
      </c>
    </row>
    <row r="52" spans="1:3" x14ac:dyDescent="0.35">
      <c r="A52" s="37">
        <v>36</v>
      </c>
      <c r="B52" s="35" t="s">
        <v>1063</v>
      </c>
      <c r="C52" s="38">
        <v>5000</v>
      </c>
    </row>
    <row r="53" spans="1:3" x14ac:dyDescent="0.35">
      <c r="A53" s="37">
        <v>37</v>
      </c>
      <c r="B53" s="35" t="s">
        <v>1064</v>
      </c>
      <c r="C53" s="38">
        <v>219970</v>
      </c>
    </row>
    <row r="54" spans="1:3" x14ac:dyDescent="0.35">
      <c r="A54" s="33"/>
      <c r="B54" s="31" t="s">
        <v>953</v>
      </c>
      <c r="C54" s="26">
        <f>SUM(C17:C53)</f>
        <v>1327580</v>
      </c>
    </row>
    <row r="57" spans="1:3" x14ac:dyDescent="0.35">
      <c r="B57" s="21" t="s">
        <v>31</v>
      </c>
      <c r="C57" s="21" t="s">
        <v>32</v>
      </c>
    </row>
    <row r="58" spans="1:3" x14ac:dyDescent="0.35">
      <c r="B58" s="20" t="s">
        <v>33</v>
      </c>
      <c r="C58" s="20" t="s">
        <v>0</v>
      </c>
    </row>
    <row r="59" spans="1:3" x14ac:dyDescent="0.35">
      <c r="B59" s="20" t="s">
        <v>34</v>
      </c>
    </row>
    <row r="60" spans="1:3" x14ac:dyDescent="0.35">
      <c r="B60" s="22" t="s">
        <v>35</v>
      </c>
    </row>
    <row r="64" spans="1:3" x14ac:dyDescent="0.35">
      <c r="C64" s="22" t="s">
        <v>36</v>
      </c>
    </row>
    <row r="65" spans="2:3" x14ac:dyDescent="0.35">
      <c r="C65" s="20" t="s">
        <v>37</v>
      </c>
    </row>
    <row r="66" spans="2:3" x14ac:dyDescent="0.35">
      <c r="B66" s="20" t="s">
        <v>38</v>
      </c>
      <c r="C66" s="22" t="s">
        <v>39</v>
      </c>
    </row>
    <row r="67" spans="2:3" x14ac:dyDescent="0.35">
      <c r="B67" s="22" t="s">
        <v>39</v>
      </c>
    </row>
    <row r="68" spans="2:3" x14ac:dyDescent="0.35">
      <c r="B68" s="22" t="s">
        <v>40</v>
      </c>
      <c r="C68" s="22" t="s">
        <v>36</v>
      </c>
    </row>
    <row r="69" spans="2:3" x14ac:dyDescent="0.35">
      <c r="B69" s="22" t="s">
        <v>41</v>
      </c>
      <c r="C69" s="20" t="s">
        <v>42</v>
      </c>
    </row>
    <row r="70" spans="2:3" x14ac:dyDescent="0.35">
      <c r="B70" s="22" t="s">
        <v>43</v>
      </c>
      <c r="C70" s="22" t="s">
        <v>39</v>
      </c>
    </row>
    <row r="71" spans="2:3" x14ac:dyDescent="0.35">
      <c r="B71" s="22" t="s">
        <v>44</v>
      </c>
    </row>
  </sheetData>
  <mergeCells count="4">
    <mergeCell ref="A1:C1"/>
    <mergeCell ref="A2:C2"/>
    <mergeCell ref="A3:C3"/>
    <mergeCell ref="A4:C4"/>
  </mergeCells>
  <pageMargins left="0.5" right="0.5" top="0.5" bottom="0.5" header="0.511811023622047" footer="0.511811023622047"/>
  <pageSetup paperSize="9" fitToHeight="0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E49"/>
  <sheetViews>
    <sheetView showGridLines="0" topLeftCell="A35" zoomScaleNormal="100" workbookViewId="0">
      <selection sqref="A1:E1"/>
    </sheetView>
  </sheetViews>
  <sheetFormatPr defaultColWidth="8.6328125" defaultRowHeight="14.5" x14ac:dyDescent="0.35"/>
  <cols>
    <col min="1" max="1" width="8" customWidth="1"/>
    <col min="2" max="2" width="46" customWidth="1"/>
    <col min="3" max="3" width="16" customWidth="1"/>
    <col min="4" max="5" width="18" customWidth="1"/>
  </cols>
  <sheetData>
    <row r="1" spans="1:5" ht="17.399999999999999" customHeight="1" x14ac:dyDescent="0.35">
      <c r="A1" s="9" t="s">
        <v>0</v>
      </c>
      <c r="B1" s="9"/>
      <c r="C1" s="9"/>
      <c r="D1" s="9"/>
      <c r="E1" s="9"/>
    </row>
    <row r="2" spans="1:5" ht="15" customHeight="1" x14ac:dyDescent="0.35">
      <c r="A2" s="8" t="s">
        <v>1</v>
      </c>
      <c r="B2" s="8"/>
      <c r="C2" s="8"/>
      <c r="D2" s="8"/>
      <c r="E2" s="8"/>
    </row>
    <row r="3" spans="1:5" ht="15" customHeight="1" x14ac:dyDescent="0.35">
      <c r="A3" s="7" t="s">
        <v>2</v>
      </c>
      <c r="B3" s="7"/>
      <c r="C3" s="7"/>
      <c r="D3" s="7"/>
      <c r="E3" s="7"/>
    </row>
    <row r="4" spans="1:5" ht="19.5" customHeight="1" x14ac:dyDescent="0.35">
      <c r="A4" s="6" t="s">
        <v>1065</v>
      </c>
      <c r="B4" s="6"/>
      <c r="C4" s="6"/>
      <c r="D4" s="6"/>
      <c r="E4" s="6"/>
    </row>
    <row r="5" spans="1:5" x14ac:dyDescent="0.35">
      <c r="E5" s="10" t="s">
        <v>4</v>
      </c>
    </row>
    <row r="6" spans="1:5" x14ac:dyDescent="0.35">
      <c r="A6" s="34" t="s">
        <v>1066</v>
      </c>
    </row>
    <row r="7" spans="1:5" ht="30" customHeight="1" x14ac:dyDescent="0.35">
      <c r="A7" s="11"/>
      <c r="B7" s="11" t="s">
        <v>5</v>
      </c>
      <c r="C7" s="11"/>
      <c r="D7" s="11"/>
      <c r="E7" s="11" t="s">
        <v>1022</v>
      </c>
    </row>
    <row r="8" spans="1:5" x14ac:dyDescent="0.35">
      <c r="A8" s="13"/>
      <c r="B8" s="16" t="s">
        <v>1067</v>
      </c>
      <c r="C8" s="13"/>
      <c r="D8" s="13"/>
      <c r="E8" s="23">
        <v>338416</v>
      </c>
    </row>
    <row r="9" spans="1:5" x14ac:dyDescent="0.35">
      <c r="A9" s="13"/>
      <c r="B9" s="16" t="s">
        <v>1068</v>
      </c>
      <c r="C9" s="13"/>
      <c r="D9" s="13"/>
      <c r="E9" s="23">
        <v>225000</v>
      </c>
    </row>
    <row r="10" spans="1:5" x14ac:dyDescent="0.35">
      <c r="A10" s="13"/>
      <c r="B10" s="16" t="s">
        <v>1069</v>
      </c>
      <c r="C10" s="13"/>
      <c r="D10" s="13"/>
      <c r="E10" s="23">
        <v>39561</v>
      </c>
    </row>
    <row r="11" spans="1:5" x14ac:dyDescent="0.35">
      <c r="A11" s="33"/>
      <c r="B11" s="31" t="s">
        <v>1070</v>
      </c>
      <c r="C11" s="33"/>
      <c r="D11" s="33"/>
      <c r="E11" s="26">
        <f>E8-E9-E10</f>
        <v>73855</v>
      </c>
    </row>
    <row r="14" spans="1:5" x14ac:dyDescent="0.35">
      <c r="A14" s="34" t="s">
        <v>1071</v>
      </c>
    </row>
    <row r="15" spans="1:5" ht="30" customHeight="1" x14ac:dyDescent="0.35">
      <c r="A15" s="11" t="s">
        <v>217</v>
      </c>
      <c r="B15" s="11" t="s">
        <v>5</v>
      </c>
      <c r="C15" s="11"/>
      <c r="D15" s="11"/>
      <c r="E15" s="11" t="s">
        <v>1022</v>
      </c>
    </row>
    <row r="16" spans="1:5" x14ac:dyDescent="0.35">
      <c r="A16" s="17">
        <v>1</v>
      </c>
      <c r="B16" s="16" t="s">
        <v>1072</v>
      </c>
      <c r="C16" s="13"/>
      <c r="D16" s="13"/>
      <c r="E16" s="23">
        <v>60000</v>
      </c>
    </row>
    <row r="17" spans="1:5" x14ac:dyDescent="0.35">
      <c r="A17" s="17">
        <v>2</v>
      </c>
      <c r="B17" s="16" t="s">
        <v>1073</v>
      </c>
      <c r="C17" s="13"/>
      <c r="D17" s="13"/>
      <c r="E17" s="23">
        <v>75000</v>
      </c>
    </row>
    <row r="18" spans="1:5" x14ac:dyDescent="0.35">
      <c r="A18" s="17">
        <v>3</v>
      </c>
      <c r="B18" s="16" t="s">
        <v>1074</v>
      </c>
      <c r="C18" s="13"/>
      <c r="D18" s="13"/>
      <c r="E18" s="23">
        <v>90000</v>
      </c>
    </row>
    <row r="19" spans="1:5" x14ac:dyDescent="0.35">
      <c r="A19" s="33"/>
      <c r="B19" s="31" t="s">
        <v>953</v>
      </c>
      <c r="C19" s="33"/>
      <c r="D19" s="33"/>
      <c r="E19" s="26">
        <f>SUM(E16:E18)</f>
        <v>225000</v>
      </c>
    </row>
    <row r="22" spans="1:5" x14ac:dyDescent="0.35">
      <c r="A22" s="34" t="s">
        <v>1075</v>
      </c>
    </row>
    <row r="23" spans="1:5" ht="30" customHeight="1" x14ac:dyDescent="0.35">
      <c r="A23" s="11" t="s">
        <v>217</v>
      </c>
      <c r="B23" s="11" t="s">
        <v>1076</v>
      </c>
      <c r="C23" s="11" t="s">
        <v>1077</v>
      </c>
      <c r="D23" s="11" t="s">
        <v>1078</v>
      </c>
      <c r="E23" s="11" t="s">
        <v>1079</v>
      </c>
    </row>
    <row r="24" spans="1:5" x14ac:dyDescent="0.35">
      <c r="A24" s="17">
        <v>1</v>
      </c>
      <c r="B24" s="16" t="s">
        <v>1080</v>
      </c>
      <c r="C24" s="17" t="s">
        <v>1081</v>
      </c>
      <c r="D24" s="23">
        <v>171000</v>
      </c>
      <c r="E24" s="23">
        <v>3420</v>
      </c>
    </row>
    <row r="25" spans="1:5" x14ac:dyDescent="0.35">
      <c r="A25" s="17">
        <v>2</v>
      </c>
      <c r="B25" s="16" t="s">
        <v>1082</v>
      </c>
      <c r="C25" s="17" t="s">
        <v>1083</v>
      </c>
      <c r="D25" s="23">
        <v>6626</v>
      </c>
      <c r="E25" s="23">
        <v>7</v>
      </c>
    </row>
    <row r="26" spans="1:5" x14ac:dyDescent="0.35">
      <c r="A26" s="17">
        <v>3</v>
      </c>
      <c r="B26" s="16" t="s">
        <v>1084</v>
      </c>
      <c r="C26" s="17" t="s">
        <v>1085</v>
      </c>
      <c r="D26" s="23">
        <v>2999976.02</v>
      </c>
      <c r="E26" s="23">
        <v>3000</v>
      </c>
    </row>
    <row r="27" spans="1:5" x14ac:dyDescent="0.35">
      <c r="A27" s="17">
        <v>4</v>
      </c>
      <c r="B27" s="16" t="s">
        <v>1086</v>
      </c>
      <c r="C27" s="17" t="s">
        <v>1087</v>
      </c>
      <c r="D27" s="23">
        <v>716000</v>
      </c>
      <c r="E27" s="23">
        <v>14320</v>
      </c>
    </row>
    <row r="28" spans="1:5" x14ac:dyDescent="0.35">
      <c r="A28" s="17">
        <v>5</v>
      </c>
      <c r="B28" s="16" t="s">
        <v>1088</v>
      </c>
      <c r="C28" s="17" t="s">
        <v>1089</v>
      </c>
      <c r="D28" s="23">
        <v>3048232</v>
      </c>
      <c r="E28" s="23">
        <v>3048</v>
      </c>
    </row>
    <row r="29" spans="1:5" x14ac:dyDescent="0.35">
      <c r="A29" s="17">
        <v>6</v>
      </c>
      <c r="B29" s="16" t="s">
        <v>1090</v>
      </c>
      <c r="C29" s="17" t="s">
        <v>1091</v>
      </c>
      <c r="D29" s="23">
        <v>156918</v>
      </c>
      <c r="E29" s="23">
        <v>3138</v>
      </c>
    </row>
    <row r="30" spans="1:5" x14ac:dyDescent="0.35">
      <c r="A30" s="17">
        <v>7</v>
      </c>
      <c r="B30" s="16" t="s">
        <v>1092</v>
      </c>
      <c r="C30" s="17" t="s">
        <v>1093</v>
      </c>
      <c r="D30" s="23">
        <v>103322</v>
      </c>
      <c r="E30" s="23">
        <v>2068</v>
      </c>
    </row>
    <row r="31" spans="1:5" x14ac:dyDescent="0.35">
      <c r="A31" s="17">
        <v>8</v>
      </c>
      <c r="B31" s="16" t="s">
        <v>1094</v>
      </c>
      <c r="C31" s="17" t="s">
        <v>1095</v>
      </c>
      <c r="D31" s="23">
        <v>528000</v>
      </c>
      <c r="E31" s="23">
        <v>10560</v>
      </c>
    </row>
    <row r="32" spans="1:5" x14ac:dyDescent="0.35">
      <c r="A32" s="33"/>
      <c r="B32" s="31" t="s">
        <v>953</v>
      </c>
      <c r="C32" s="33"/>
      <c r="D32" s="26">
        <f>SUM(D24:D31)</f>
        <v>7730074.0199999996</v>
      </c>
      <c r="E32" s="26">
        <f>SUM(E24:E31)</f>
        <v>39561</v>
      </c>
    </row>
    <row r="35" spans="2:4" x14ac:dyDescent="0.35">
      <c r="B35" s="21" t="s">
        <v>31</v>
      </c>
      <c r="D35" s="21" t="s">
        <v>32</v>
      </c>
    </row>
    <row r="36" spans="2:4" x14ac:dyDescent="0.35">
      <c r="B36" s="20" t="s">
        <v>33</v>
      </c>
      <c r="D36" s="20" t="s">
        <v>0</v>
      </c>
    </row>
    <row r="37" spans="2:4" x14ac:dyDescent="0.35">
      <c r="B37" s="20" t="s">
        <v>34</v>
      </c>
    </row>
    <row r="38" spans="2:4" x14ac:dyDescent="0.35">
      <c r="B38" s="22" t="s">
        <v>35</v>
      </c>
    </row>
    <row r="42" spans="2:4" x14ac:dyDescent="0.35">
      <c r="D42" s="22" t="s">
        <v>36</v>
      </c>
    </row>
    <row r="43" spans="2:4" x14ac:dyDescent="0.35">
      <c r="D43" s="20" t="s">
        <v>37</v>
      </c>
    </row>
    <row r="44" spans="2:4" x14ac:dyDescent="0.35">
      <c r="B44" s="20" t="s">
        <v>38</v>
      </c>
      <c r="D44" s="22" t="s">
        <v>39</v>
      </c>
    </row>
    <row r="45" spans="2:4" x14ac:dyDescent="0.35">
      <c r="B45" s="22" t="s">
        <v>39</v>
      </c>
    </row>
    <row r="46" spans="2:4" x14ac:dyDescent="0.35">
      <c r="B46" s="22" t="s">
        <v>40</v>
      </c>
      <c r="D46" s="22" t="s">
        <v>36</v>
      </c>
    </row>
    <row r="47" spans="2:4" x14ac:dyDescent="0.35">
      <c r="B47" s="22" t="s">
        <v>41</v>
      </c>
      <c r="D47" s="20" t="s">
        <v>42</v>
      </c>
    </row>
    <row r="48" spans="2:4" x14ac:dyDescent="0.35">
      <c r="B48" s="22" t="s">
        <v>43</v>
      </c>
      <c r="D48" s="22" t="s">
        <v>39</v>
      </c>
    </row>
    <row r="49" spans="2:2" x14ac:dyDescent="0.35">
      <c r="B49" s="22" t="s">
        <v>44</v>
      </c>
    </row>
  </sheetData>
  <mergeCells count="4">
    <mergeCell ref="A1:E1"/>
    <mergeCell ref="A2:E2"/>
    <mergeCell ref="A3:E3"/>
    <mergeCell ref="A4:E4"/>
  </mergeCells>
  <pageMargins left="0.5" right="0.5" top="0.5" bottom="0.5" header="0.511811023622047" footer="0.511811023622047"/>
  <pageSetup paperSize="9" fitToHeight="0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G45"/>
  <sheetViews>
    <sheetView showGridLines="0" zoomScaleNormal="100" workbookViewId="0">
      <selection activeCell="E24" sqref="E24"/>
    </sheetView>
  </sheetViews>
  <sheetFormatPr defaultColWidth="8.6328125" defaultRowHeight="14.5" x14ac:dyDescent="0.35"/>
  <cols>
    <col min="1" max="1" width="12" customWidth="1"/>
    <col min="2" max="2" width="17" customWidth="1"/>
    <col min="3" max="3" width="16" customWidth="1"/>
    <col min="4" max="6" width="18" customWidth="1"/>
    <col min="7" max="7" width="15" customWidth="1"/>
  </cols>
  <sheetData>
    <row r="1" spans="1:7" ht="17.399999999999999" customHeight="1" x14ac:dyDescent="0.35">
      <c r="A1" s="9" t="s">
        <v>0</v>
      </c>
      <c r="B1" s="9"/>
      <c r="C1" s="9"/>
      <c r="D1" s="9"/>
      <c r="E1" s="9"/>
      <c r="F1" s="9"/>
      <c r="G1" s="9"/>
    </row>
    <row r="2" spans="1:7" ht="15" customHeight="1" x14ac:dyDescent="0.35">
      <c r="A2" s="8" t="s">
        <v>1</v>
      </c>
      <c r="B2" s="8"/>
      <c r="C2" s="8"/>
      <c r="D2" s="8"/>
      <c r="E2" s="8"/>
      <c r="F2" s="8"/>
      <c r="G2" s="8"/>
    </row>
    <row r="3" spans="1:7" ht="15" customHeight="1" x14ac:dyDescent="0.35">
      <c r="A3" s="7" t="s">
        <v>2</v>
      </c>
      <c r="B3" s="7"/>
      <c r="C3" s="7"/>
      <c r="D3" s="7"/>
      <c r="E3" s="7"/>
      <c r="F3" s="7"/>
      <c r="G3" s="7"/>
    </row>
    <row r="4" spans="1:7" ht="19.5" customHeight="1" x14ac:dyDescent="0.35">
      <c r="A4" s="6" t="s">
        <v>1096</v>
      </c>
      <c r="B4" s="6"/>
      <c r="C4" s="6"/>
      <c r="D4" s="6"/>
      <c r="E4" s="6"/>
      <c r="F4" s="6"/>
      <c r="G4" s="6"/>
    </row>
    <row r="5" spans="1:7" x14ac:dyDescent="0.35">
      <c r="G5" s="10" t="s">
        <v>4</v>
      </c>
    </row>
    <row r="6" spans="1:7" ht="42" customHeight="1" x14ac:dyDescent="0.35">
      <c r="A6" s="11" t="s">
        <v>1097</v>
      </c>
      <c r="B6" s="11" t="s">
        <v>1098</v>
      </c>
      <c r="C6" s="11" t="s">
        <v>1099</v>
      </c>
      <c r="D6" s="11" t="s">
        <v>1100</v>
      </c>
      <c r="E6" s="11" t="s">
        <v>1101</v>
      </c>
      <c r="F6" s="11" t="s">
        <v>1102</v>
      </c>
      <c r="G6" s="11" t="s">
        <v>1103</v>
      </c>
    </row>
    <row r="7" spans="1:7" x14ac:dyDescent="0.35">
      <c r="A7" s="42">
        <v>45748</v>
      </c>
      <c r="B7" s="23">
        <v>10082496</v>
      </c>
      <c r="C7" s="23">
        <v>438964</v>
      </c>
      <c r="D7" s="23">
        <v>0</v>
      </c>
      <c r="E7" s="23">
        <f t="shared" ref="E7:E18" si="0">B7+C7-D7</f>
        <v>10521460</v>
      </c>
      <c r="F7" s="23">
        <v>10520500.02</v>
      </c>
      <c r="G7" s="23">
        <f t="shared" ref="G7:G18" si="1">E7-F7</f>
        <v>959.98000000044703</v>
      </c>
    </row>
    <row r="8" spans="1:7" x14ac:dyDescent="0.35">
      <c r="A8" s="42">
        <v>45778</v>
      </c>
      <c r="B8" s="23">
        <v>12576887</v>
      </c>
      <c r="C8" s="23">
        <v>494721</v>
      </c>
      <c r="D8" s="23">
        <v>0</v>
      </c>
      <c r="E8" s="23">
        <f t="shared" si="0"/>
        <v>13071608</v>
      </c>
      <c r="F8" s="23">
        <v>13069869.720000001</v>
      </c>
      <c r="G8" s="23">
        <f t="shared" si="1"/>
        <v>1738.2799999993294</v>
      </c>
    </row>
    <row r="9" spans="1:7" x14ac:dyDescent="0.35">
      <c r="A9" s="42">
        <v>45809</v>
      </c>
      <c r="B9" s="23">
        <v>8765654</v>
      </c>
      <c r="C9" s="23">
        <v>355659</v>
      </c>
      <c r="D9" s="23">
        <v>0</v>
      </c>
      <c r="E9" s="23">
        <f t="shared" si="0"/>
        <v>9121313</v>
      </c>
      <c r="F9" s="23">
        <v>9113250.6999999993</v>
      </c>
      <c r="G9" s="23">
        <f t="shared" si="1"/>
        <v>8062.3000000007451</v>
      </c>
    </row>
    <row r="10" spans="1:7" x14ac:dyDescent="0.35">
      <c r="A10" s="42">
        <v>45839</v>
      </c>
      <c r="B10" s="23">
        <v>10706813</v>
      </c>
      <c r="C10" s="23">
        <v>402957</v>
      </c>
      <c r="D10" s="23">
        <v>0</v>
      </c>
      <c r="E10" s="23">
        <f t="shared" si="0"/>
        <v>11109770</v>
      </c>
      <c r="F10" s="23">
        <v>10972421.470000001</v>
      </c>
      <c r="G10" s="23">
        <f t="shared" si="1"/>
        <v>137348.52999999933</v>
      </c>
    </row>
    <row r="11" spans="1:7" x14ac:dyDescent="0.35">
      <c r="A11" s="42">
        <v>45870</v>
      </c>
      <c r="B11" s="23">
        <v>13003217</v>
      </c>
      <c r="C11" s="23">
        <v>465835</v>
      </c>
      <c r="D11" s="23">
        <v>1311431.96</v>
      </c>
      <c r="E11" s="23">
        <f t="shared" si="0"/>
        <v>12157620.039999999</v>
      </c>
      <c r="F11" s="23">
        <v>12070686</v>
      </c>
      <c r="G11" s="23">
        <f t="shared" si="1"/>
        <v>86934.039999999106</v>
      </c>
    </row>
    <row r="12" spans="1:7" x14ac:dyDescent="0.35">
      <c r="A12" s="42">
        <v>45901</v>
      </c>
      <c r="B12" s="23">
        <v>11433327</v>
      </c>
      <c r="C12" s="23">
        <v>752440</v>
      </c>
      <c r="D12" s="23">
        <v>0</v>
      </c>
      <c r="E12" s="23">
        <f t="shared" si="0"/>
        <v>12185767</v>
      </c>
      <c r="F12" s="23">
        <v>12414872.640000001</v>
      </c>
      <c r="G12" s="23">
        <f t="shared" si="1"/>
        <v>-229105.6400000006</v>
      </c>
    </row>
    <row r="13" spans="1:7" x14ac:dyDescent="0.35">
      <c r="A13" s="42">
        <v>45931</v>
      </c>
      <c r="B13" s="23">
        <v>10234224</v>
      </c>
      <c r="C13" s="23">
        <v>2069515</v>
      </c>
      <c r="D13" s="23">
        <v>0</v>
      </c>
      <c r="E13" s="23">
        <f t="shared" si="0"/>
        <v>12303739</v>
      </c>
      <c r="F13" s="23">
        <v>12359539.91</v>
      </c>
      <c r="G13" s="23">
        <f t="shared" si="1"/>
        <v>-55800.910000000149</v>
      </c>
    </row>
    <row r="14" spans="1:7" x14ac:dyDescent="0.35">
      <c r="A14" s="42">
        <v>45962</v>
      </c>
      <c r="B14" s="23">
        <v>9027702</v>
      </c>
      <c r="C14" s="23">
        <v>350914</v>
      </c>
      <c r="D14" s="23">
        <v>0</v>
      </c>
      <c r="E14" s="23">
        <f t="shared" si="0"/>
        <v>9378616</v>
      </c>
      <c r="F14" s="23">
        <v>9442088.6899999995</v>
      </c>
      <c r="G14" s="23">
        <f t="shared" si="1"/>
        <v>-63472.689999999478</v>
      </c>
    </row>
    <row r="15" spans="1:7" x14ac:dyDescent="0.35">
      <c r="A15" s="42">
        <v>45992</v>
      </c>
      <c r="B15" s="23">
        <v>8285732</v>
      </c>
      <c r="C15" s="23">
        <v>503475</v>
      </c>
      <c r="D15" s="23">
        <v>0</v>
      </c>
      <c r="E15" s="23">
        <f t="shared" si="0"/>
        <v>8789207</v>
      </c>
      <c r="F15" s="23">
        <v>8785431.0299999993</v>
      </c>
      <c r="G15" s="23">
        <f t="shared" si="1"/>
        <v>3775.9700000006706</v>
      </c>
    </row>
    <row r="16" spans="1:7" x14ac:dyDescent="0.35">
      <c r="A16" s="42">
        <v>46023</v>
      </c>
      <c r="B16" s="23">
        <v>7541813</v>
      </c>
      <c r="C16" s="23">
        <v>317546</v>
      </c>
      <c r="D16" s="23">
        <v>0</v>
      </c>
      <c r="E16" s="23">
        <f t="shared" si="0"/>
        <v>7859359</v>
      </c>
      <c r="F16" s="23">
        <v>7857907.5300000003</v>
      </c>
      <c r="G16" s="23">
        <f t="shared" si="1"/>
        <v>1451.4699999997392</v>
      </c>
    </row>
    <row r="17" spans="1:7" x14ac:dyDescent="0.35">
      <c r="A17" s="42">
        <v>46054</v>
      </c>
      <c r="B17" s="23">
        <v>7595718</v>
      </c>
      <c r="C17" s="23">
        <v>469297</v>
      </c>
      <c r="D17" s="23">
        <v>0</v>
      </c>
      <c r="E17" s="23">
        <f t="shared" si="0"/>
        <v>8065015</v>
      </c>
      <c r="F17" s="23">
        <v>8059916.6600000001</v>
      </c>
      <c r="G17" s="23">
        <f t="shared" si="1"/>
        <v>5098.339999999851</v>
      </c>
    </row>
    <row r="18" spans="1:7" x14ac:dyDescent="0.35">
      <c r="A18" s="42">
        <v>46082</v>
      </c>
      <c r="B18" s="23">
        <v>7663249</v>
      </c>
      <c r="C18" s="23">
        <v>467241</v>
      </c>
      <c r="D18" s="23">
        <v>0</v>
      </c>
      <c r="E18" s="23">
        <f t="shared" si="0"/>
        <v>8130490</v>
      </c>
      <c r="F18" s="23">
        <v>8130490.4100000001</v>
      </c>
      <c r="G18" s="23">
        <f t="shared" si="1"/>
        <v>-0.41000000014901161</v>
      </c>
    </row>
    <row r="19" spans="1:7" x14ac:dyDescent="0.35">
      <c r="A19" s="43" t="s">
        <v>953</v>
      </c>
      <c r="B19" s="26">
        <f t="shared" ref="B19:G19" si="2">SUM(B7:B18)</f>
        <v>116916832</v>
      </c>
      <c r="C19" s="26">
        <f t="shared" si="2"/>
        <v>7088564</v>
      </c>
      <c r="D19" s="26">
        <f t="shared" si="2"/>
        <v>1311431.96</v>
      </c>
      <c r="E19" s="26">
        <f t="shared" si="2"/>
        <v>122693964.03999999</v>
      </c>
      <c r="F19" s="26">
        <f t="shared" si="2"/>
        <v>122796974.78</v>
      </c>
      <c r="G19" s="26">
        <f t="shared" si="2"/>
        <v>-103010.74000000115</v>
      </c>
    </row>
    <row r="21" spans="1:7" x14ac:dyDescent="0.35">
      <c r="A21" s="2" t="s">
        <v>1104</v>
      </c>
      <c r="B21" s="2"/>
      <c r="C21" s="2"/>
      <c r="D21" s="2"/>
      <c r="E21" s="44">
        <f>F19</f>
        <v>122796974.78</v>
      </c>
    </row>
    <row r="22" spans="1:7" x14ac:dyDescent="0.35">
      <c r="A22" s="2" t="s">
        <v>1105</v>
      </c>
      <c r="B22" s="2"/>
      <c r="C22" s="2"/>
      <c r="D22" s="2"/>
      <c r="E22" s="44">
        <v>103010.74</v>
      </c>
    </row>
    <row r="23" spans="1:7" x14ac:dyDescent="0.35">
      <c r="A23" s="1" t="s">
        <v>1106</v>
      </c>
      <c r="B23" s="1"/>
      <c r="C23" s="1"/>
      <c r="D23" s="1"/>
      <c r="E23" s="45">
        <f>E21-E22</f>
        <v>122693964.04000001</v>
      </c>
    </row>
    <row r="24" spans="1:7" x14ac:dyDescent="0.35">
      <c r="A24" s="2" t="s">
        <v>1107</v>
      </c>
      <c r="B24" s="2"/>
      <c r="C24" s="2"/>
      <c r="D24" s="2"/>
      <c r="E24" s="44">
        <f>E19</f>
        <v>122693964.03999999</v>
      </c>
    </row>
    <row r="25" spans="1:7" x14ac:dyDescent="0.35">
      <c r="A25" s="1" t="s">
        <v>1108</v>
      </c>
      <c r="B25" s="1"/>
      <c r="C25" s="1"/>
      <c r="D25" s="1"/>
      <c r="E25" s="45">
        <f>Notes!B116</f>
        <v>122693964.29000001</v>
      </c>
    </row>
    <row r="27" spans="1:7" ht="25.5" customHeight="1" x14ac:dyDescent="0.35">
      <c r="A27" s="5" t="s">
        <v>1109</v>
      </c>
      <c r="B27" s="5"/>
      <c r="C27" s="5"/>
      <c r="D27" s="5"/>
      <c r="E27" s="5"/>
      <c r="F27" s="5"/>
      <c r="G27" s="5"/>
    </row>
    <row r="28" spans="1:7" ht="25.5" customHeight="1" x14ac:dyDescent="0.35">
      <c r="A28" s="5" t="s">
        <v>1110</v>
      </c>
      <c r="B28" s="5"/>
      <c r="C28" s="5"/>
      <c r="D28" s="5"/>
      <c r="E28" s="5"/>
      <c r="F28" s="5"/>
      <c r="G28" s="5"/>
    </row>
    <row r="31" spans="1:7" x14ac:dyDescent="0.35">
      <c r="A31" s="21" t="s">
        <v>31</v>
      </c>
      <c r="E31" s="21" t="s">
        <v>32</v>
      </c>
    </row>
    <row r="32" spans="1:7" x14ac:dyDescent="0.35">
      <c r="A32" s="20" t="s">
        <v>33</v>
      </c>
      <c r="E32" s="20" t="s">
        <v>0</v>
      </c>
    </row>
    <row r="33" spans="1:5" x14ac:dyDescent="0.35">
      <c r="A33" s="20" t="s">
        <v>34</v>
      </c>
    </row>
    <row r="34" spans="1:5" x14ac:dyDescent="0.35">
      <c r="A34" s="22" t="s">
        <v>35</v>
      </c>
    </row>
    <row r="38" spans="1:5" x14ac:dyDescent="0.35">
      <c r="E38" s="22" t="s">
        <v>36</v>
      </c>
    </row>
    <row r="39" spans="1:5" x14ac:dyDescent="0.35">
      <c r="E39" s="20" t="s">
        <v>37</v>
      </c>
    </row>
    <row r="40" spans="1:5" x14ac:dyDescent="0.35">
      <c r="A40" s="20" t="s">
        <v>38</v>
      </c>
      <c r="E40" s="22" t="s">
        <v>39</v>
      </c>
    </row>
    <row r="41" spans="1:5" x14ac:dyDescent="0.35">
      <c r="A41" s="22" t="s">
        <v>39</v>
      </c>
    </row>
    <row r="42" spans="1:5" x14ac:dyDescent="0.35">
      <c r="A42" s="22" t="s">
        <v>40</v>
      </c>
      <c r="E42" s="22" t="s">
        <v>36</v>
      </c>
    </row>
    <row r="43" spans="1:5" x14ac:dyDescent="0.35">
      <c r="A43" s="22" t="s">
        <v>41</v>
      </c>
      <c r="E43" s="20" t="s">
        <v>42</v>
      </c>
    </row>
    <row r="44" spans="1:5" x14ac:dyDescent="0.35">
      <c r="A44" s="22" t="s">
        <v>43</v>
      </c>
      <c r="E44" s="22" t="s">
        <v>39</v>
      </c>
    </row>
    <row r="45" spans="1:5" x14ac:dyDescent="0.35">
      <c r="A45" s="22" t="s">
        <v>44</v>
      </c>
    </row>
  </sheetData>
  <mergeCells count="11">
    <mergeCell ref="A28:G28"/>
    <mergeCell ref="A22:D22"/>
    <mergeCell ref="A23:D23"/>
    <mergeCell ref="A24:D24"/>
    <mergeCell ref="A25:D25"/>
    <mergeCell ref="A27:G27"/>
    <mergeCell ref="A1:G1"/>
    <mergeCell ref="A2:G2"/>
    <mergeCell ref="A3:G3"/>
    <mergeCell ref="A4:G4"/>
    <mergeCell ref="A21:D21"/>
  </mergeCells>
  <pageMargins left="0.5" right="0.5" top="0.5" bottom="0.5" header="0.511811023622047" footer="0.511811023622047"/>
  <pageSetup paperSize="9" orientation="landscape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E39"/>
  <sheetViews>
    <sheetView showGridLines="0" zoomScaleNormal="100" workbookViewId="0">
      <selection sqref="A1:E1"/>
    </sheetView>
  </sheetViews>
  <sheetFormatPr defaultColWidth="8.6328125" defaultRowHeight="14.5" x14ac:dyDescent="0.35"/>
  <cols>
    <col min="1" max="1" width="14" customWidth="1"/>
    <col min="2" max="3" width="20" customWidth="1"/>
    <col min="4" max="5" width="18" customWidth="1"/>
  </cols>
  <sheetData>
    <row r="1" spans="1:5" ht="17.399999999999999" customHeight="1" x14ac:dyDescent="0.35">
      <c r="A1" s="9" t="s">
        <v>0</v>
      </c>
      <c r="B1" s="9"/>
      <c r="C1" s="9"/>
      <c r="D1" s="9"/>
      <c r="E1" s="9"/>
    </row>
    <row r="2" spans="1:5" ht="15" customHeight="1" x14ac:dyDescent="0.35">
      <c r="A2" s="8" t="s">
        <v>1</v>
      </c>
      <c r="B2" s="8"/>
      <c r="C2" s="8"/>
      <c r="D2" s="8"/>
      <c r="E2" s="8"/>
    </row>
    <row r="3" spans="1:5" ht="15" customHeight="1" x14ac:dyDescent="0.35">
      <c r="A3" s="7" t="s">
        <v>2</v>
      </c>
      <c r="B3" s="7"/>
      <c r="C3" s="7"/>
      <c r="D3" s="7"/>
      <c r="E3" s="7"/>
    </row>
    <row r="4" spans="1:5" ht="19.5" customHeight="1" x14ac:dyDescent="0.35">
      <c r="A4" s="6" t="s">
        <v>1111</v>
      </c>
      <c r="B4" s="6"/>
      <c r="C4" s="6"/>
      <c r="D4" s="6"/>
      <c r="E4" s="6"/>
    </row>
    <row r="5" spans="1:5" x14ac:dyDescent="0.35">
      <c r="E5" s="10" t="s">
        <v>4</v>
      </c>
    </row>
    <row r="6" spans="1:5" ht="30" customHeight="1" x14ac:dyDescent="0.35">
      <c r="A6" s="11" t="s">
        <v>1097</v>
      </c>
      <c r="B6" s="11" t="s">
        <v>1112</v>
      </c>
      <c r="C6" s="11" t="s">
        <v>1113</v>
      </c>
      <c r="D6" s="11" t="s">
        <v>83</v>
      </c>
      <c r="E6" s="11" t="s">
        <v>1114</v>
      </c>
    </row>
    <row r="7" spans="1:5" x14ac:dyDescent="0.35">
      <c r="A7" s="42">
        <v>45748</v>
      </c>
      <c r="B7" s="23">
        <v>3457</v>
      </c>
      <c r="C7" s="23">
        <v>801</v>
      </c>
      <c r="D7" s="23">
        <f t="shared" ref="D7:D18" si="0">B7+C7</f>
        <v>4258</v>
      </c>
      <c r="E7" s="46">
        <v>45823</v>
      </c>
    </row>
    <row r="8" spans="1:5" x14ac:dyDescent="0.35">
      <c r="A8" s="42">
        <v>45778</v>
      </c>
      <c r="B8" s="23">
        <v>3121</v>
      </c>
      <c r="C8" s="23">
        <v>724</v>
      </c>
      <c r="D8" s="23">
        <f t="shared" si="0"/>
        <v>3845</v>
      </c>
      <c r="E8" s="46">
        <v>45823</v>
      </c>
    </row>
    <row r="9" spans="1:5" x14ac:dyDescent="0.35">
      <c r="A9" s="42">
        <v>45809</v>
      </c>
      <c r="B9" s="23">
        <v>3530</v>
      </c>
      <c r="C9" s="23">
        <v>664</v>
      </c>
      <c r="D9" s="23">
        <f t="shared" si="0"/>
        <v>4194</v>
      </c>
      <c r="E9" s="46">
        <v>45853</v>
      </c>
    </row>
    <row r="10" spans="1:5" x14ac:dyDescent="0.35">
      <c r="A10" s="42">
        <v>45839</v>
      </c>
      <c r="B10" s="23">
        <v>2950</v>
      </c>
      <c r="C10" s="23">
        <v>683</v>
      </c>
      <c r="D10" s="23">
        <f t="shared" si="0"/>
        <v>3633</v>
      </c>
      <c r="E10" s="46">
        <v>45888</v>
      </c>
    </row>
    <row r="11" spans="1:5" x14ac:dyDescent="0.35">
      <c r="A11" s="42">
        <v>45870</v>
      </c>
      <c r="B11" s="23">
        <v>3471</v>
      </c>
      <c r="C11" s="23">
        <v>804</v>
      </c>
      <c r="D11" s="23">
        <f t="shared" si="0"/>
        <v>4275</v>
      </c>
      <c r="E11" s="46">
        <v>45915</v>
      </c>
    </row>
    <row r="12" spans="1:5" x14ac:dyDescent="0.35">
      <c r="A12" s="42">
        <v>45901</v>
      </c>
      <c r="B12" s="23">
        <v>3430</v>
      </c>
      <c r="C12" s="23">
        <v>794</v>
      </c>
      <c r="D12" s="23">
        <f t="shared" si="0"/>
        <v>4224</v>
      </c>
      <c r="E12" s="46">
        <v>45945</v>
      </c>
    </row>
    <row r="13" spans="1:5" x14ac:dyDescent="0.35">
      <c r="A13" s="42">
        <v>45931</v>
      </c>
      <c r="B13" s="23">
        <v>3339</v>
      </c>
      <c r="C13" s="23">
        <v>773</v>
      </c>
      <c r="D13" s="23">
        <f t="shared" si="0"/>
        <v>4112</v>
      </c>
      <c r="E13" s="46">
        <v>45976</v>
      </c>
    </row>
    <row r="14" spans="1:5" x14ac:dyDescent="0.35">
      <c r="A14" s="42">
        <v>45962</v>
      </c>
      <c r="B14" s="23">
        <v>3174</v>
      </c>
      <c r="C14" s="23">
        <v>735</v>
      </c>
      <c r="D14" s="23">
        <f t="shared" si="0"/>
        <v>3909</v>
      </c>
      <c r="E14" s="46">
        <v>46006</v>
      </c>
    </row>
    <row r="15" spans="1:5" x14ac:dyDescent="0.35">
      <c r="A15" s="42">
        <v>45992</v>
      </c>
      <c r="B15" s="23">
        <v>2911</v>
      </c>
      <c r="C15" s="23">
        <v>674</v>
      </c>
      <c r="D15" s="23">
        <f t="shared" si="0"/>
        <v>3585</v>
      </c>
      <c r="E15" s="46">
        <v>46037</v>
      </c>
    </row>
    <row r="16" spans="1:5" x14ac:dyDescent="0.35">
      <c r="A16" s="42">
        <v>46023</v>
      </c>
      <c r="B16" s="23">
        <v>3286</v>
      </c>
      <c r="C16" s="23">
        <v>760</v>
      </c>
      <c r="D16" s="23">
        <f t="shared" si="0"/>
        <v>4046</v>
      </c>
      <c r="E16" s="46">
        <v>46067</v>
      </c>
    </row>
    <row r="17" spans="1:5" x14ac:dyDescent="0.35">
      <c r="A17" s="42">
        <v>46054</v>
      </c>
      <c r="B17" s="23">
        <v>3335</v>
      </c>
      <c r="C17" s="23">
        <v>772</v>
      </c>
      <c r="D17" s="23">
        <f t="shared" si="0"/>
        <v>4107</v>
      </c>
      <c r="E17" s="46">
        <v>46096</v>
      </c>
    </row>
    <row r="18" spans="1:5" x14ac:dyDescent="0.35">
      <c r="A18" s="42">
        <v>46082</v>
      </c>
      <c r="B18" s="23">
        <v>3188</v>
      </c>
      <c r="C18" s="23">
        <v>737</v>
      </c>
      <c r="D18" s="23">
        <f t="shared" si="0"/>
        <v>3925</v>
      </c>
      <c r="E18" s="46">
        <v>46127</v>
      </c>
    </row>
    <row r="19" spans="1:5" x14ac:dyDescent="0.35">
      <c r="A19" s="43" t="s">
        <v>953</v>
      </c>
      <c r="B19" s="26">
        <f>SUM(B7:B18)</f>
        <v>39192</v>
      </c>
      <c r="C19" s="26">
        <f>SUM(C7:C18)</f>
        <v>8921</v>
      </c>
      <c r="D19" s="26">
        <f>SUM(D7:D18)</f>
        <v>48113</v>
      </c>
      <c r="E19" s="33"/>
    </row>
    <row r="21" spans="1:5" ht="25.5" customHeight="1" x14ac:dyDescent="0.35">
      <c r="A21" s="5" t="s">
        <v>1115</v>
      </c>
      <c r="B21" s="5"/>
      <c r="C21" s="5"/>
      <c r="D21" s="5"/>
      <c r="E21" s="5"/>
    </row>
    <row r="25" spans="1:5" x14ac:dyDescent="0.35">
      <c r="A25" s="21" t="s">
        <v>31</v>
      </c>
      <c r="D25" s="21" t="s">
        <v>32</v>
      </c>
    </row>
    <row r="26" spans="1:5" x14ac:dyDescent="0.35">
      <c r="A26" s="20" t="s">
        <v>33</v>
      </c>
      <c r="D26" s="20" t="s">
        <v>0</v>
      </c>
    </row>
    <row r="27" spans="1:5" x14ac:dyDescent="0.35">
      <c r="A27" s="20" t="s">
        <v>34</v>
      </c>
    </row>
    <row r="28" spans="1:5" x14ac:dyDescent="0.35">
      <c r="A28" s="22" t="s">
        <v>35</v>
      </c>
    </row>
    <row r="32" spans="1:5" x14ac:dyDescent="0.35">
      <c r="D32" s="22" t="s">
        <v>36</v>
      </c>
    </row>
    <row r="33" spans="1:4" x14ac:dyDescent="0.35">
      <c r="D33" s="20" t="s">
        <v>37</v>
      </c>
    </row>
    <row r="34" spans="1:4" x14ac:dyDescent="0.35">
      <c r="A34" s="20" t="s">
        <v>38</v>
      </c>
      <c r="D34" s="22" t="s">
        <v>39</v>
      </c>
    </row>
    <row r="35" spans="1:4" x14ac:dyDescent="0.35">
      <c r="A35" s="22" t="s">
        <v>39</v>
      </c>
    </row>
    <row r="36" spans="1:4" x14ac:dyDescent="0.35">
      <c r="A36" s="22" t="s">
        <v>40</v>
      </c>
      <c r="D36" s="22" t="s">
        <v>36</v>
      </c>
    </row>
    <row r="37" spans="1:4" x14ac:dyDescent="0.35">
      <c r="A37" s="22" t="s">
        <v>41</v>
      </c>
      <c r="D37" s="20" t="s">
        <v>42</v>
      </c>
    </row>
    <row r="38" spans="1:4" x14ac:dyDescent="0.35">
      <c r="A38" s="22" t="s">
        <v>43</v>
      </c>
      <c r="D38" s="22" t="s">
        <v>39</v>
      </c>
    </row>
    <row r="39" spans="1:4" x14ac:dyDescent="0.35">
      <c r="A39" s="22" t="s">
        <v>44</v>
      </c>
    </row>
  </sheetData>
  <mergeCells count="5">
    <mergeCell ref="A1:E1"/>
    <mergeCell ref="A2:E2"/>
    <mergeCell ref="A3:E3"/>
    <mergeCell ref="A4:E4"/>
    <mergeCell ref="A21:E21"/>
  </mergeCells>
  <pageMargins left="0.5" right="0.5" top="0.5" bottom="0.5" header="0.511811023622047" footer="0.511811023622047"/>
  <pageSetup paperSize="9" fitToHeight="0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C34"/>
  <sheetViews>
    <sheetView showGridLines="0" zoomScaleNormal="100" workbookViewId="0">
      <selection sqref="A1:C1"/>
    </sheetView>
  </sheetViews>
  <sheetFormatPr defaultColWidth="8.6328125" defaultRowHeight="14.5" x14ac:dyDescent="0.35"/>
  <cols>
    <col min="1" max="1" width="62" customWidth="1"/>
    <col min="2" max="3" width="20" customWidth="1"/>
  </cols>
  <sheetData>
    <row r="1" spans="1:3" ht="17.399999999999999" customHeight="1" x14ac:dyDescent="0.35">
      <c r="A1" s="9" t="s">
        <v>0</v>
      </c>
      <c r="B1" s="9"/>
      <c r="C1" s="9"/>
    </row>
    <row r="2" spans="1:3" ht="15" customHeight="1" x14ac:dyDescent="0.35">
      <c r="A2" s="8" t="s">
        <v>1</v>
      </c>
      <c r="B2" s="8"/>
      <c r="C2" s="8"/>
    </row>
    <row r="3" spans="1:3" ht="15" customHeight="1" x14ac:dyDescent="0.35">
      <c r="A3" s="7" t="s">
        <v>2</v>
      </c>
      <c r="B3" s="7"/>
      <c r="C3" s="7"/>
    </row>
    <row r="4" spans="1:3" ht="19.5" customHeight="1" x14ac:dyDescent="0.35">
      <c r="A4" s="6" t="s">
        <v>1116</v>
      </c>
      <c r="B4" s="6"/>
      <c r="C4" s="6"/>
    </row>
    <row r="5" spans="1:3" x14ac:dyDescent="0.35">
      <c r="C5" s="10" t="s">
        <v>4</v>
      </c>
    </row>
    <row r="6" spans="1:3" ht="30" customHeight="1" x14ac:dyDescent="0.35">
      <c r="A6" s="11" t="s">
        <v>5</v>
      </c>
      <c r="B6" s="11" t="s">
        <v>1117</v>
      </c>
      <c r="C6" s="11" t="s">
        <v>1118</v>
      </c>
    </row>
    <row r="7" spans="1:3" x14ac:dyDescent="0.35">
      <c r="A7" s="16" t="s">
        <v>1119</v>
      </c>
      <c r="B7" s="23">
        <f>'Profit &amp; Loss'!C22</f>
        <v>1084667.150000006</v>
      </c>
      <c r="C7" s="23">
        <f>'Profit &amp; Loss'!D22</f>
        <v>958579.84000000358</v>
      </c>
    </row>
    <row r="8" spans="1:3" x14ac:dyDescent="0.35">
      <c r="A8" s="16" t="s">
        <v>1120</v>
      </c>
      <c r="B8" s="23">
        <f>Notes!B156</f>
        <v>1200000</v>
      </c>
      <c r="C8" s="23">
        <f>Notes!C156</f>
        <v>1200000</v>
      </c>
    </row>
    <row r="9" spans="1:3" x14ac:dyDescent="0.35">
      <c r="A9" s="41" t="s">
        <v>1121</v>
      </c>
      <c r="B9" s="24">
        <f>B7+B8</f>
        <v>2284667.150000006</v>
      </c>
      <c r="C9" s="24">
        <f>C7+C8</f>
        <v>2158579.8400000036</v>
      </c>
    </row>
    <row r="10" spans="1:3" x14ac:dyDescent="0.35">
      <c r="A10" s="16" t="s">
        <v>1122</v>
      </c>
      <c r="B10" s="23">
        <f>MAX(300000,MIN(B9,600000)*0.9)</f>
        <v>540000</v>
      </c>
      <c r="C10" s="23">
        <f>MAX(300000,MIN(C9,600000)*0.9)</f>
        <v>540000</v>
      </c>
    </row>
    <row r="11" spans="1:3" x14ac:dyDescent="0.35">
      <c r="A11" s="16" t="s">
        <v>1123</v>
      </c>
      <c r="B11" s="23">
        <f>MAX(0,B9-600000)*0.6</f>
        <v>1010800.2900000035</v>
      </c>
      <c r="C11" s="23">
        <f>MAX(0,C9-600000)*0.6</f>
        <v>935147.90400000208</v>
      </c>
    </row>
    <row r="12" spans="1:3" x14ac:dyDescent="0.35">
      <c r="A12" s="41" t="s">
        <v>1124</v>
      </c>
      <c r="B12" s="24">
        <f>B10+B11</f>
        <v>1550800.2900000035</v>
      </c>
      <c r="C12" s="24">
        <f>C10+C11</f>
        <v>1475147.904000002</v>
      </c>
    </row>
    <row r="13" spans="1:3" x14ac:dyDescent="0.35">
      <c r="A13" s="16" t="s">
        <v>1125</v>
      </c>
      <c r="B13" s="23">
        <f>Notes!B156</f>
        <v>1200000</v>
      </c>
      <c r="C13" s="23">
        <f>Notes!C156</f>
        <v>1200000</v>
      </c>
    </row>
    <row r="14" spans="1:3" x14ac:dyDescent="0.35">
      <c r="A14" s="31" t="s">
        <v>1126</v>
      </c>
      <c r="B14" s="26">
        <f>MAX(0,B13-B12)</f>
        <v>0</v>
      </c>
      <c r="C14" s="26">
        <f>MAX(0,C13-C12)</f>
        <v>0</v>
      </c>
    </row>
    <row r="16" spans="1:3" ht="25.5" customHeight="1" x14ac:dyDescent="0.35">
      <c r="A16" s="5" t="s">
        <v>1127</v>
      </c>
      <c r="B16" s="5"/>
      <c r="C16" s="5"/>
    </row>
    <row r="20" spans="1:2" x14ac:dyDescent="0.35">
      <c r="A20" s="21" t="s">
        <v>31</v>
      </c>
      <c r="B20" s="21" t="s">
        <v>32</v>
      </c>
    </row>
    <row r="21" spans="1:2" x14ac:dyDescent="0.35">
      <c r="A21" s="20" t="s">
        <v>33</v>
      </c>
      <c r="B21" s="20" t="s">
        <v>0</v>
      </c>
    </row>
    <row r="22" spans="1:2" x14ac:dyDescent="0.35">
      <c r="A22" s="20" t="s">
        <v>34</v>
      </c>
    </row>
    <row r="23" spans="1:2" x14ac:dyDescent="0.35">
      <c r="A23" s="22" t="s">
        <v>35</v>
      </c>
    </row>
    <row r="27" spans="1:2" x14ac:dyDescent="0.35">
      <c r="B27" s="22" t="s">
        <v>36</v>
      </c>
    </row>
    <row r="28" spans="1:2" x14ac:dyDescent="0.35">
      <c r="B28" s="20" t="s">
        <v>37</v>
      </c>
    </row>
    <row r="29" spans="1:2" x14ac:dyDescent="0.35">
      <c r="A29" s="20" t="s">
        <v>38</v>
      </c>
      <c r="B29" s="22" t="s">
        <v>39</v>
      </c>
    </row>
    <row r="30" spans="1:2" x14ac:dyDescent="0.35">
      <c r="A30" s="22" t="s">
        <v>39</v>
      </c>
    </row>
    <row r="31" spans="1:2" x14ac:dyDescent="0.35">
      <c r="A31" s="22" t="s">
        <v>40</v>
      </c>
      <c r="B31" s="22" t="s">
        <v>36</v>
      </c>
    </row>
    <row r="32" spans="1:2" x14ac:dyDescent="0.35">
      <c r="A32" s="22" t="s">
        <v>41</v>
      </c>
      <c r="B32" s="20" t="s">
        <v>42</v>
      </c>
    </row>
    <row r="33" spans="1:2" x14ac:dyDescent="0.35">
      <c r="A33" s="22" t="s">
        <v>43</v>
      </c>
      <c r="B33" s="22" t="s">
        <v>39</v>
      </c>
    </row>
    <row r="34" spans="1:2" x14ac:dyDescent="0.35">
      <c r="A34" s="22" t="s">
        <v>44</v>
      </c>
    </row>
  </sheetData>
  <mergeCells count="5">
    <mergeCell ref="A1:C1"/>
    <mergeCell ref="A2:C2"/>
    <mergeCell ref="A3:C3"/>
    <mergeCell ref="A4:C4"/>
    <mergeCell ref="A16:C16"/>
  </mergeCells>
  <pageMargins left="0.5" right="0.5" top="0.5" bottom="0.5" header="0.511811023622047" footer="0.511811023622047"/>
  <pageSetup paperSize="9" fitToHeight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11</vt:i4>
      </vt:variant>
    </vt:vector>
  </HeadingPairs>
  <TitlesOfParts>
    <vt:vector size="22" baseType="lpstr">
      <vt:lpstr>Balance Sheet</vt:lpstr>
      <vt:lpstr>Profit &amp; Loss</vt:lpstr>
      <vt:lpstr>Notes</vt:lpstr>
      <vt:lpstr>Sch A - Depreciation</vt:lpstr>
      <vt:lpstr>Sch B - Debtors</vt:lpstr>
      <vt:lpstr>Sch C - Creditors</vt:lpstr>
      <vt:lpstr>Sch D - Loans</vt:lpstr>
      <vt:lpstr>Sch E - Income Tax</vt:lpstr>
      <vt:lpstr>Sch F - GST Sales Reco</vt:lpstr>
      <vt:lpstr>Sch G - ESI</vt:lpstr>
      <vt:lpstr>Sch H - Partner Remuneration</vt:lpstr>
      <vt:lpstr>'Balance Sheet'!Print_Area</vt:lpstr>
      <vt:lpstr>Notes!Print_Area</vt:lpstr>
      <vt:lpstr>'Profit &amp; Loss'!Print_Area</vt:lpstr>
      <vt:lpstr>'Sch A - Depreciation'!Print_Area</vt:lpstr>
      <vt:lpstr>'Sch B - Debtors'!Print_Area</vt:lpstr>
      <vt:lpstr>'Sch C - Creditors'!Print_Area</vt:lpstr>
      <vt:lpstr>'Sch D - Loans'!Print_Area</vt:lpstr>
      <vt:lpstr>'Sch E - Income Tax'!Print_Area</vt:lpstr>
      <vt:lpstr>'Sch F - GST Sales Reco'!Print_Area</vt:lpstr>
      <vt:lpstr>'Sch G - ESI'!Print_Area</vt:lpstr>
      <vt:lpstr>'Sch H - Partner Remuneration'!Print_Area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Saddab Akhtar</cp:lastModifiedBy>
  <cp:revision>0</cp:revision>
  <dcterms:created xsi:type="dcterms:W3CDTF">2026-09-26T20:53:13Z</dcterms:created>
  <dcterms:modified xsi:type="dcterms:W3CDTF">2026-09-26T21:03:12Z</dcterms:modified>
  <dc:language>en-US</dc:language>
</cp:coreProperties>
</file>