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1500" tabRatio="500" firstSheet="0" activeTab="1" autoFilterDateGrouping="1"/>
  </bookViews>
  <sheets>
    <sheet xmlns:r="http://schemas.openxmlformats.org/officeDocument/2006/relationships" name="Generator" sheetId="1" state="visible" r:id="rId1"/>
    <sheet xmlns:r="http://schemas.openxmlformats.org/officeDocument/2006/relationships" name="Salary sheet" sheetId="2" state="visible" r:id="rId2"/>
    <sheet xmlns:r="http://schemas.openxmlformats.org/officeDocument/2006/relationships" name="Income Tax" sheetId="3" state="visible" r:id="rId3"/>
    <sheet xmlns:r="http://schemas.openxmlformats.org/officeDocument/2006/relationships" name="Master Data" sheetId="4" state="visible" r:id="rId4"/>
    <sheet xmlns:r="http://schemas.openxmlformats.org/officeDocument/2006/relationships" name="Salary Slip" sheetId="5" state="visible" r:id="rId5"/>
  </sheets>
  <definedNames>
    <definedName name="_xlnm._FilterDatabase" localSheetId="1" hidden="1">'Salary sheet'!$A$2:$AM$500</definedName>
    <definedName name="_xlnm._FilterDatabase" localSheetId="2" hidden="1">'Income Tax'!$A$1:$Q$37</definedName>
    <definedName name="_xlnm._FilterDatabase" localSheetId="3" hidden="1">'Master Data'!$A$1:$Q$32</definedName>
    <definedName name="_xlnm.Print_Area" localSheetId="4">'Salary Slip'!$C$2:$K$35</definedName>
  </definedNames>
  <calcPr calcId="191029" fullCalcOnLoad="1"/>
</workbook>
</file>

<file path=xl/styles.xml><?xml version="1.0" encoding="utf-8"?>
<styleSheet xmlns="http://schemas.openxmlformats.org/spreadsheetml/2006/main">
  <numFmts count="8">
    <numFmt numFmtId="164" formatCode="mmm\-yy"/>
    <numFmt numFmtId="165" formatCode="_ * #,##0.00_ ;_ * \-#,##0.00_ ;_ * \-??_ ;_ @_ "/>
    <numFmt numFmtId="166" formatCode="d\-mmm\-yy"/>
    <numFmt numFmtId="167" formatCode="m/d/yyyy\ h:mm"/>
    <numFmt numFmtId="168" formatCode="_(* #,##0.00_);_(* \(#,##0.00\);_(* \-??_);_(@_)"/>
    <numFmt numFmtId="169" formatCode="_(* #,##0_);_(* \(#,##0\);_(* \-??_);_(@_)"/>
    <numFmt numFmtId="170" formatCode="m/d/yyyy"/>
    <numFmt numFmtId="171" formatCode="_ * #,##0.00_ ;_ * \-#,##0.00_ ;_ * &quot;-&quot;??_ ;_ @_ "/>
  </numFmts>
  <fonts count="35">
    <font>
      <name val="Aptos Narrow"/>
      <charset val="1"/>
      <family val="2"/>
      <color theme="1"/>
      <sz val="11"/>
    </font>
    <font>
      <name val="Calibri"/>
      <charset val="204"/>
      <family val="2"/>
      <color rgb="FF000000"/>
      <sz val="11"/>
    </font>
    <font>
      <name val="Cambria"/>
      <family val="1"/>
      <i val="1"/>
      <color rgb="FFBFBFBF"/>
      <sz val="8"/>
    </font>
    <font>
      <name val="Arial"/>
      <family val="2"/>
      <b val="1"/>
      <color rgb="FF1F4E78"/>
      <sz val="16"/>
    </font>
    <font>
      <name val="Arial"/>
      <family val="2"/>
      <b val="1"/>
      <color rgb="FF404040"/>
      <sz val="10"/>
    </font>
    <font>
      <name val="Arial"/>
      <family val="2"/>
      <b val="1"/>
      <sz val="11"/>
    </font>
    <font>
      <name val="Arial"/>
      <family val="2"/>
      <i val="1"/>
      <color rgb="FF808080"/>
      <sz val="9"/>
    </font>
    <font>
      <name val="Arial"/>
      <family val="2"/>
      <i val="1"/>
      <color rgb="FF808080"/>
      <sz val="8"/>
    </font>
    <font>
      <name val="Aptos Narrow"/>
      <charset val="1"/>
      <family val="2"/>
      <b val="1"/>
      <color theme="1"/>
      <sz val="11"/>
    </font>
    <font>
      <name val="Aptos Narrow"/>
      <charset val="1"/>
      <family val="2"/>
      <sz val="10"/>
    </font>
    <font>
      <name val="Aptos Narrow"/>
      <charset val="1"/>
      <family val="2"/>
      <b val="1"/>
      <color theme="1"/>
      <sz val="10"/>
    </font>
    <font>
      <name val="Aptos Narrow"/>
      <charset val="1"/>
      <family val="2"/>
      <color rgb="FF0000FF"/>
      <sz val="10"/>
    </font>
    <font>
      <name val="Aptos Narrow"/>
      <charset val="1"/>
      <family val="2"/>
      <color theme="10"/>
      <sz val="11"/>
      <u val="single"/>
    </font>
    <font>
      <name val="Aptos Narrow"/>
      <charset val="1"/>
      <family val="2"/>
      <color theme="1"/>
      <sz val="10"/>
    </font>
    <font>
      <name val="Calibri"/>
      <charset val="1"/>
      <family val="2"/>
      <color theme="0"/>
      <sz val="11"/>
    </font>
    <font>
      <name val="Aptos Narrow"/>
      <charset val="1"/>
      <family val="2"/>
      <color theme="0"/>
      <sz val="11"/>
    </font>
    <font>
      <name val="Arial"/>
      <family val="2"/>
      <i val="1"/>
      <color rgb="FF999999"/>
      <sz val="8"/>
    </font>
    <font>
      <name val="Calibri"/>
      <charset val="204"/>
      <family val="2"/>
      <color theme="0"/>
      <sz val="11"/>
    </font>
    <font>
      <name val="Calibri"/>
      <charset val="1"/>
      <family val="2"/>
      <sz val="11"/>
    </font>
    <font>
      <name val="Calibri"/>
      <charset val="1"/>
      <family val="2"/>
      <b val="1"/>
      <color rgb="FF000000"/>
      <sz val="22"/>
    </font>
    <font>
      <name val="Arial"/>
      <charset val="1"/>
      <family val="2"/>
      <b val="1"/>
      <color rgb="FF000000"/>
      <sz val="9"/>
    </font>
    <font>
      <name val="Arial"/>
      <charset val="1"/>
      <family val="2"/>
      <b val="1"/>
      <color rgb="FF000000"/>
      <sz val="11.5"/>
    </font>
    <font>
      <name val="Arial"/>
      <charset val="1"/>
      <family val="2"/>
      <color rgb="FF858585"/>
      <sz val="8.5"/>
    </font>
    <font>
      <name val="Arial"/>
      <charset val="1"/>
      <family val="2"/>
      <color rgb="FF000000"/>
      <sz val="10.5"/>
    </font>
    <font>
      <name val="Arial"/>
      <charset val="1"/>
      <family val="2"/>
      <color rgb="FF000000"/>
      <sz val="10"/>
    </font>
    <font>
      <name val="Arial"/>
      <family val="2"/>
      <i val="1"/>
      <color rgb="FFC00000"/>
      <sz val="9"/>
    </font>
    <font>
      <name val="Arial"/>
      <charset val="1"/>
      <family val="2"/>
      <b val="1"/>
      <color rgb="FF000000"/>
      <sz val="10"/>
    </font>
    <font>
      <name val="Arial"/>
      <charset val="1"/>
      <family val="2"/>
      <sz val="10"/>
    </font>
    <font>
      <name val="Arial"/>
      <charset val="1"/>
      <family val="2"/>
      <color rgb="FF000000"/>
      <sz val="11"/>
    </font>
    <font>
      <name val="Arial"/>
      <charset val="1"/>
      <family val="2"/>
      <b val="1"/>
      <color rgb="FF000000"/>
      <sz val="11"/>
    </font>
    <font>
      <name val="Calibri"/>
      <charset val="204"/>
      <family val="2"/>
      <color rgb="FF000000"/>
      <sz val="9"/>
    </font>
    <font>
      <name val="Aptos Narrow"/>
      <charset val="1"/>
      <family val="2"/>
      <color theme="1"/>
      <sz val="11"/>
    </font>
    <font>
      <name val="Calibri"/>
      <family val="2"/>
      <color rgb="FF000000"/>
      <sz val="11"/>
    </font>
    <font>
      <name val="Arial"/>
      <family val="2"/>
      <sz val="10"/>
    </font>
    <font>
      <name val="Aptos Narrow"/>
      <family val="2"/>
      <sz val="10"/>
      <scheme val="minor"/>
    </font>
  </fonts>
  <fills count="10">
    <fill>
      <patternFill/>
    </fill>
    <fill>
      <patternFill patternType="gray125"/>
    </fill>
    <fill>
      <patternFill patternType="solid">
        <fgColor rgb="FFFFF2CC"/>
        <bgColor rgb="FFFFFFFF"/>
      </patternFill>
    </fill>
    <fill>
      <patternFill patternType="solid">
        <fgColor theme="0" tint="-0.249977111117893"/>
        <bgColor rgb="FFAEAEAE"/>
      </patternFill>
    </fill>
    <fill>
      <patternFill patternType="solid">
        <fgColor theme="2" tint="-0.249977111117893"/>
        <bgColor rgb="FFBFBFBF"/>
      </patternFill>
    </fill>
    <fill>
      <patternFill patternType="solid">
        <fgColor theme="2" tint="-0.09997863704336681"/>
        <bgColor rgb="FFD9D9D9"/>
      </patternFill>
    </fill>
    <fill>
      <patternFill patternType="solid">
        <fgColor rgb="FFFFFF00"/>
        <bgColor rgb="FFFFFF00"/>
      </patternFill>
    </fill>
    <fill>
      <patternFill patternType="solid">
        <fgColor theme="3" tint="0.8998992889187292"/>
        <bgColor rgb="FFDCDCDC"/>
      </patternFill>
    </fill>
    <fill>
      <patternFill patternType="solid">
        <fgColor rgb="FFFFFF00"/>
        <bgColor indexed="64"/>
      </patternFill>
    </fill>
    <fill>
      <patternFill patternType="solid">
        <fgColor theme="5" tint="0.5998718222602009"/>
        <bgColor rgb="FFD1D1D1"/>
      </patternFill>
    </fill>
  </fills>
  <borders count="15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theme="0" tint="-0.1499984740745262"/>
      </bottom>
      <diagonal/>
    </border>
    <border>
      <left/>
      <right/>
      <top style="thin">
        <color rgb="FFDCDCDC"/>
      </top>
      <bottom style="thin">
        <color auto="1"/>
      </bottom>
      <diagonal/>
    </border>
    <border>
      <left/>
      <right style="thin">
        <color theme="0" tint="-0.1499984740745262"/>
      </right>
      <top style="thin">
        <color theme="0" tint="-0.1499984740745262"/>
      </top>
      <bottom/>
      <diagonal/>
    </border>
    <border>
      <left/>
      <right style="thin">
        <color theme="0" tint="-0.1499984740745262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DCDCDC"/>
      </top>
      <bottom/>
      <diagonal/>
    </border>
  </borders>
  <cellStyleXfs count="4">
    <xf numFmtId="0" fontId="31" fillId="0" borderId="0"/>
    <xf numFmtId="168" fontId="31" fillId="0" borderId="0"/>
    <xf numFmtId="0" fontId="1" fillId="0" borderId="0"/>
    <xf numFmtId="0" fontId="12" fillId="0" borderId="0"/>
  </cellStyleXfs>
  <cellXfs count="142">
    <xf numFmtId="0" fontId="0" fillId="0" borderId="0" pivotButton="0" quotePrefix="0" xfId="0"/>
    <xf numFmtId="0" fontId="23" fillId="0" borderId="7" applyAlignment="1" applyProtection="1" pivotButton="0" quotePrefix="0" xfId="0">
      <alignment horizontal="left" vertical="top"/>
      <protection locked="1" hidden="1"/>
    </xf>
    <xf numFmtId="0" fontId="22" fillId="0" borderId="0" applyAlignment="1" applyProtection="1" pivotButton="0" quotePrefix="0" xfId="0">
      <alignment horizontal="left" vertical="top" wrapText="1"/>
      <protection locked="1" hidden="1"/>
    </xf>
    <xf numFmtId="0" fontId="2" fillId="0" borderId="0" pivotButton="0" quotePrefix="0" xfId="0"/>
    <xf numFmtId="0" fontId="4" fillId="0" borderId="0" pivotButton="0" quotePrefix="0" xfId="0"/>
    <xf numFmtId="0" fontId="5" fillId="2" borderId="1" pivotButton="0" quotePrefix="0" xfId="0"/>
    <xf numFmtId="0" fontId="8" fillId="3" borderId="3" applyAlignment="1" pivotButton="0" quotePrefix="0" xfId="0">
      <alignment horizontal="left"/>
    </xf>
    <xf numFmtId="164" fontId="0" fillId="4" borderId="4" pivotButton="0" quotePrefix="0" xfId="0"/>
    <xf numFmtId="164" fontId="8" fillId="4" borderId="3" pivotButton="0" quotePrefix="0" xfId="0"/>
    <xf numFmtId="164" fontId="0" fillId="4" borderId="3" pivotButton="0" quotePrefix="0" xfId="0"/>
    <xf numFmtId="0" fontId="8" fillId="5" borderId="5" pivotButton="0" quotePrefix="0" xfId="0"/>
    <xf numFmtId="0" fontId="8" fillId="5" borderId="3" pivotButton="0" quotePrefix="0" xfId="0"/>
    <xf numFmtId="0" fontId="9" fillId="0" borderId="6" applyAlignment="1" pivotButton="0" quotePrefix="0" xfId="0">
      <alignment horizontal="left"/>
    </xf>
    <xf numFmtId="165" fontId="9" fillId="0" borderId="6" applyAlignment="1" pivotButton="0" quotePrefix="0" xfId="0">
      <alignment horizontal="left"/>
    </xf>
    <xf numFmtId="0" fontId="0" fillId="0" borderId="3" pivotButton="0" quotePrefix="0" xfId="0"/>
    <xf numFmtId="0" fontId="0" fillId="0" borderId="6" pivotButton="0" quotePrefix="0" xfId="0"/>
    <xf numFmtId="165" fontId="0" fillId="0" borderId="0" pivotButton="0" quotePrefix="0" xfId="0"/>
    <xf numFmtId="165" fontId="0" fillId="0" borderId="3" pivotButton="0" quotePrefix="0" xfId="0"/>
    <xf numFmtId="0" fontId="9" fillId="0" borderId="3" applyAlignment="1" pivotButton="0" quotePrefix="0" xfId="0">
      <alignment horizontal="left"/>
    </xf>
    <xf numFmtId="0" fontId="9" fillId="6" borderId="3" applyAlignment="1" pivotButton="0" quotePrefix="0" xfId="0">
      <alignment horizontal="left"/>
    </xf>
    <xf numFmtId="0" fontId="9" fillId="6" borderId="6" applyAlignment="1" pivotButton="0" quotePrefix="0" xfId="0">
      <alignment horizontal="left"/>
    </xf>
    <xf numFmtId="165" fontId="9" fillId="0" borderId="6" applyAlignment="1" pivotButton="0" quotePrefix="0" xfId="0">
      <alignment horizontal="right" vertical="center"/>
    </xf>
    <xf numFmtId="0" fontId="10" fillId="3" borderId="3" applyAlignment="1" pivotButton="0" quotePrefix="0" xfId="0">
      <alignment horizontal="left"/>
    </xf>
    <xf numFmtId="166" fontId="10" fillId="3" borderId="3" applyAlignment="1" pivotButton="0" quotePrefix="0" xfId="0">
      <alignment horizontal="left"/>
    </xf>
    <xf numFmtId="49" fontId="10" fillId="3" borderId="3" applyAlignment="1" pivotButton="0" quotePrefix="0" xfId="0">
      <alignment horizontal="left"/>
    </xf>
    <xf numFmtId="0" fontId="1" fillId="0" borderId="0" applyProtection="1" pivotButton="0" quotePrefix="0" xfId="0">
      <protection locked="1" hidden="1"/>
    </xf>
    <xf numFmtId="0" fontId="14" fillId="0" borderId="0" applyProtection="1" pivotButton="0" quotePrefix="0" xfId="0">
      <protection locked="1" hidden="1"/>
    </xf>
    <xf numFmtId="0" fontId="15" fillId="0" borderId="0" applyProtection="1" pivotButton="0" quotePrefix="0" xfId="0">
      <protection locked="1" hidden="1"/>
    </xf>
    <xf numFmtId="164" fontId="1" fillId="0" borderId="0" applyProtection="1" pivotButton="0" quotePrefix="0" xfId="0">
      <protection locked="1" hidden="1"/>
    </xf>
    <xf numFmtId="0" fontId="16" fillId="0" borderId="0" pivotButton="0" quotePrefix="0" xfId="0"/>
    <xf numFmtId="167" fontId="16" fillId="0" borderId="0" applyProtection="1" pivotButton="0" quotePrefix="0" xfId="0">
      <protection locked="1" hidden="1"/>
    </xf>
    <xf numFmtId="0" fontId="17" fillId="0" borderId="0" applyProtection="1" pivotButton="0" quotePrefix="0" xfId="0">
      <protection locked="1" hidden="1"/>
    </xf>
    <xf numFmtId="0" fontId="18" fillId="0" borderId="0" applyProtection="1" pivotButton="0" quotePrefix="0" xfId="0">
      <protection locked="1" hidden="1"/>
    </xf>
    <xf numFmtId="0" fontId="23" fillId="0" borderId="7" applyAlignment="1" applyProtection="1" pivotButton="0" quotePrefix="0" xfId="0">
      <alignment horizontal="left" vertical="top"/>
      <protection locked="0" hidden="0"/>
    </xf>
    <xf numFmtId="164" fontId="16" fillId="0" borderId="0" pivotButton="0" quotePrefix="0" xfId="0"/>
    <xf numFmtId="165" fontId="16" fillId="0" borderId="0" pivotButton="0" quotePrefix="0" xfId="0"/>
    <xf numFmtId="0" fontId="24" fillId="0" borderId="0" applyAlignment="1" applyProtection="1" pivotButton="0" quotePrefix="0" xfId="0">
      <alignment horizontal="left" vertical="top"/>
      <protection locked="1" hidden="1"/>
    </xf>
    <xf numFmtId="168" fontId="24" fillId="0" borderId="0" applyAlignment="1" applyProtection="1" pivotButton="0" quotePrefix="0" xfId="0">
      <alignment horizontal="left" vertical="top"/>
      <protection locked="1" hidden="1"/>
    </xf>
    <xf numFmtId="0" fontId="26" fillId="0" borderId="0" applyAlignment="1" applyProtection="1" pivotButton="0" quotePrefix="0" xfId="0">
      <alignment horizontal="right" vertical="top" wrapText="1"/>
      <protection locked="1" hidden="1"/>
    </xf>
    <xf numFmtId="0" fontId="26" fillId="0" borderId="9" applyAlignment="1" applyProtection="1" pivotButton="0" quotePrefix="0" xfId="0">
      <alignment horizontal="right" vertical="top" wrapText="1"/>
      <protection locked="1" hidden="1"/>
    </xf>
    <xf numFmtId="0" fontId="8" fillId="0" borderId="3" applyProtection="1" pivotButton="0" quotePrefix="0" xfId="0">
      <protection locked="1" hidden="1"/>
    </xf>
    <xf numFmtId="4" fontId="27" fillId="0" borderId="0" applyAlignment="1" applyProtection="1" pivotButton="0" quotePrefix="0" xfId="0">
      <alignment horizontal="right" vertical="top"/>
      <protection locked="1" hidden="1"/>
    </xf>
    <xf numFmtId="4" fontId="27" fillId="0" borderId="10" applyAlignment="1" applyProtection="1" pivotButton="0" quotePrefix="0" xfId="0">
      <alignment horizontal="right" vertical="top"/>
      <protection locked="1" hidden="1"/>
    </xf>
    <xf numFmtId="4" fontId="24" fillId="0" borderId="0" applyAlignment="1" applyProtection="1" pivotButton="0" quotePrefix="0" xfId="0">
      <alignment horizontal="right" vertical="top"/>
      <protection locked="1" hidden="1"/>
    </xf>
    <xf numFmtId="168" fontId="1" fillId="0" borderId="0" applyProtection="1" pivotButton="0" quotePrefix="0" xfId="0">
      <protection locked="1" hidden="1"/>
    </xf>
    <xf numFmtId="0" fontId="16" fillId="0" borderId="0" applyProtection="1" pivotButton="0" quotePrefix="0" xfId="0">
      <protection locked="1" hidden="1"/>
    </xf>
    <xf numFmtId="169" fontId="1" fillId="0" borderId="0" applyProtection="1" pivotButton="0" quotePrefix="0" xfId="0">
      <protection locked="1" hidden="1"/>
    </xf>
    <xf numFmtId="0" fontId="0" fillId="0" borderId="3" applyProtection="1" pivotButton="0" quotePrefix="0" xfId="0">
      <protection locked="1" hidden="1"/>
    </xf>
    <xf numFmtId="166" fontId="16" fillId="0" borderId="0" applyProtection="1" pivotButton="0" quotePrefix="0" xfId="0">
      <protection locked="1" hidden="1"/>
    </xf>
    <xf numFmtId="4" fontId="26" fillId="0" borderId="0" applyAlignment="1" applyProtection="1" pivotButton="0" quotePrefix="0" xfId="0">
      <alignment horizontal="right" vertical="top"/>
      <protection locked="1" hidden="1"/>
    </xf>
    <xf numFmtId="4" fontId="26" fillId="0" borderId="0" applyAlignment="1" applyProtection="1" pivotButton="0" quotePrefix="0" xfId="0">
      <alignment horizontal="right" vertical="top" wrapText="1"/>
      <protection locked="1" hidden="1"/>
    </xf>
    <xf numFmtId="0" fontId="24" fillId="0" borderId="0" applyAlignment="1" applyProtection="1" pivotButton="0" quotePrefix="0" xfId="0">
      <alignment horizontal="right" vertical="top"/>
      <protection locked="1" hidden="1"/>
    </xf>
    <xf numFmtId="0" fontId="28" fillId="0" borderId="0" applyAlignment="1" applyProtection="1" pivotButton="0" quotePrefix="0" xfId="0">
      <alignment horizontal="left" vertical="top" wrapText="1"/>
      <protection locked="1" hidden="1"/>
    </xf>
    <xf numFmtId="0" fontId="29" fillId="0" borderId="0" applyAlignment="1" applyProtection="1" pivotButton="0" quotePrefix="0" xfId="0">
      <alignment horizontal="left" vertical="top" wrapText="1"/>
      <protection locked="1" hidden="1"/>
    </xf>
    <xf numFmtId="0" fontId="0" fillId="0" borderId="0" applyProtection="1" pivotButton="0" quotePrefix="0" xfId="0">
      <protection locked="1" hidden="1"/>
    </xf>
    <xf numFmtId="0" fontId="33" fillId="2" borderId="1" pivotButton="0" quotePrefix="0" xfId="0"/>
    <xf numFmtId="166" fontId="9" fillId="0" borderId="3" applyAlignment="1" pivotButton="0" quotePrefix="0" xfId="0">
      <alignment horizontal="left"/>
    </xf>
    <xf numFmtId="166" fontId="9" fillId="0" borderId="6" applyAlignment="1" pivotButton="0" quotePrefix="0" xfId="0">
      <alignment horizontal="center"/>
    </xf>
    <xf numFmtId="166" fontId="9" fillId="0" borderId="3" pivotButton="0" quotePrefix="0" xfId="0"/>
    <xf numFmtId="0" fontId="11" fillId="0" borderId="3" applyAlignment="1" pivotButton="0" quotePrefix="0" xfId="0">
      <alignment horizontal="left"/>
    </xf>
    <xf numFmtId="0" fontId="9" fillId="0" borderId="0" applyAlignment="1" pivotButton="0" quotePrefix="0" xfId="0">
      <alignment horizontal="left"/>
    </xf>
    <xf numFmtId="0" fontId="12" fillId="0" borderId="3" applyAlignment="1" pivotButton="0" quotePrefix="0" xfId="0">
      <alignment horizontal="left"/>
    </xf>
    <xf numFmtId="49" fontId="9" fillId="0" borderId="3" applyAlignment="1" pivotButton="0" quotePrefix="0" xfId="0">
      <alignment horizontal="left"/>
    </xf>
    <xf numFmtId="166" fontId="13" fillId="0" borderId="3" applyAlignment="1" pivotButton="0" quotePrefix="0" xfId="0">
      <alignment horizontal="left"/>
    </xf>
    <xf numFmtId="0" fontId="9" fillId="8" borderId="3" applyAlignment="1" pivotButton="0" quotePrefix="0" xfId="0">
      <alignment horizontal="left"/>
    </xf>
    <xf numFmtId="166" fontId="9" fillId="8" borderId="3" applyAlignment="1" pivotButton="0" quotePrefix="0" xfId="0">
      <alignment horizontal="left"/>
    </xf>
    <xf numFmtId="166" fontId="9" fillId="8" borderId="3" pivotButton="0" quotePrefix="0" xfId="0"/>
    <xf numFmtId="166" fontId="9" fillId="0" borderId="3" applyAlignment="1" pivotButton="0" quotePrefix="0" xfId="0">
      <alignment horizontal="center"/>
    </xf>
    <xf numFmtId="166" fontId="9" fillId="8" borderId="3" applyAlignment="1" pivotButton="0" quotePrefix="0" xfId="0">
      <alignment horizontal="center"/>
    </xf>
    <xf numFmtId="0" fontId="0" fillId="8" borderId="3" pivotButton="0" quotePrefix="0" xfId="0"/>
    <xf numFmtId="170" fontId="0" fillId="0" borderId="3" pivotButton="0" quotePrefix="0" xfId="0"/>
    <xf numFmtId="170" fontId="0" fillId="8" borderId="3" pivotButton="0" quotePrefix="0" xfId="0"/>
    <xf numFmtId="0" fontId="9" fillId="0" borderId="3" applyAlignment="1" pivotButton="0" quotePrefix="1" xfId="0">
      <alignment horizontal="left"/>
    </xf>
    <xf numFmtId="0" fontId="0" fillId="0" borderId="3" pivotButton="0" quotePrefix="1" xfId="0"/>
    <xf numFmtId="165" fontId="9" fillId="0" borderId="12" applyAlignment="1" pivotButton="0" quotePrefix="0" xfId="0">
      <alignment horizontal="left"/>
    </xf>
    <xf numFmtId="165" fontId="0" fillId="0" borderId="5" pivotButton="0" quotePrefix="0" xfId="0"/>
    <xf numFmtId="0" fontId="9" fillId="0" borderId="13" applyAlignment="1" pivotButton="0" quotePrefix="0" xfId="0">
      <alignment horizontal="left"/>
    </xf>
    <xf numFmtId="0" fontId="9" fillId="6" borderId="13" applyAlignment="1" pivotButton="0" quotePrefix="0" xfId="0">
      <alignment horizontal="left"/>
    </xf>
    <xf numFmtId="0" fontId="0" fillId="0" borderId="13" pivotButton="0" quotePrefix="0" xfId="0"/>
    <xf numFmtId="165" fontId="0" fillId="0" borderId="13" pivotButton="0" quotePrefix="0" xfId="0"/>
    <xf numFmtId="0" fontId="21" fillId="0" borderId="2" applyAlignment="1" applyProtection="1" pivotButton="0" quotePrefix="0" xfId="0">
      <alignment horizontal="left" vertical="top" wrapText="1"/>
      <protection locked="1" hidden="1"/>
    </xf>
    <xf numFmtId="0" fontId="34" fillId="0" borderId="3" applyAlignment="1" pivotButton="0" quotePrefix="0" xfId="0">
      <alignment horizontal="left"/>
    </xf>
    <xf numFmtId="0" fontId="12" fillId="0" borderId="3" applyAlignment="1" pivotButton="0" quotePrefix="0" xfId="3">
      <alignment horizontal="left"/>
    </xf>
    <xf numFmtId="15" fontId="34" fillId="0" borderId="3" applyAlignment="1" pivotButton="0" quotePrefix="0" xfId="0">
      <alignment horizontal="left"/>
    </xf>
    <xf numFmtId="15" fontId="34" fillId="0" borderId="6" applyAlignment="1" pivotButton="0" quotePrefix="0" xfId="0">
      <alignment horizontal="center"/>
    </xf>
    <xf numFmtId="49" fontId="34" fillId="0" borderId="3" applyAlignment="1" pivotButton="0" quotePrefix="1" xfId="0">
      <alignment horizontal="left"/>
    </xf>
    <xf numFmtId="0" fontId="34" fillId="0" borderId="3" applyAlignment="1" pivotButton="0" quotePrefix="1" xfId="0">
      <alignment horizontal="left"/>
    </xf>
    <xf numFmtId="15" fontId="34" fillId="0" borderId="3" pivotButton="0" quotePrefix="0" xfId="0"/>
    <xf numFmtId="0" fontId="31" fillId="0" borderId="0" pivotButton="0" quotePrefix="0" xfId="0"/>
    <xf numFmtId="165" fontId="9" fillId="0" borderId="0" pivotButton="0" quotePrefix="0" xfId="0"/>
    <xf numFmtId="0" fontId="10" fillId="3" borderId="0" applyAlignment="1" pivotButton="0" quotePrefix="0" xfId="0">
      <alignment horizontal="left"/>
    </xf>
    <xf numFmtId="15" fontId="34" fillId="0" borderId="0" pivotButton="0" quotePrefix="0" xfId="0"/>
    <xf numFmtId="166" fontId="9" fillId="0" borderId="0" pivotButton="0" quotePrefix="0" xfId="0"/>
    <xf numFmtId="0" fontId="9" fillId="7" borderId="3" applyAlignment="1" pivotButton="0" quotePrefix="0" xfId="0">
      <alignment horizontal="left"/>
    </xf>
    <xf numFmtId="0" fontId="9" fillId="9" borderId="6" applyAlignment="1" pivotButton="0" quotePrefix="0" xfId="0">
      <alignment horizontal="left"/>
    </xf>
    <xf numFmtId="0" fontId="9" fillId="9" borderId="3" applyAlignment="1" pivotButton="0" quotePrefix="0" xfId="0">
      <alignment horizontal="left"/>
    </xf>
    <xf numFmtId="165" fontId="31" fillId="0" borderId="0" pivotButton="0" quotePrefix="0" xfId="1"/>
    <xf numFmtId="171" fontId="0" fillId="0" borderId="0" pivotButton="0" quotePrefix="0" xfId="0"/>
    <xf numFmtId="0" fontId="9" fillId="8" borderId="6" applyAlignment="1" pivotButton="0" quotePrefix="0" xfId="0">
      <alignment horizontal="left"/>
    </xf>
    <xf numFmtId="0" fontId="9" fillId="8" borderId="13" applyAlignment="1" pivotButton="0" quotePrefix="0" xfId="0">
      <alignment horizontal="left"/>
    </xf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3" fillId="0" borderId="0" pivotButton="0" quotePrefix="0" xfId="0"/>
    <xf numFmtId="0" fontId="0" fillId="0" borderId="0" pivotButton="0" quotePrefix="0" xfId="0"/>
    <xf numFmtId="0" fontId="6" fillId="0" borderId="0" pivotButton="0" quotePrefix="0" xfId="0"/>
    <xf numFmtId="0" fontId="7" fillId="0" borderId="0" applyAlignment="1" pivotButton="0" quotePrefix="0" xfId="0">
      <alignment wrapText="1"/>
    </xf>
    <xf numFmtId="4" fontId="26" fillId="0" borderId="0" applyAlignment="1" applyProtection="1" pivotButton="0" quotePrefix="0" xfId="0">
      <alignment horizontal="right" vertical="top"/>
      <protection locked="1" hidden="1"/>
    </xf>
    <xf numFmtId="0" fontId="0" fillId="0" borderId="0" applyProtection="1" pivotButton="0" quotePrefix="0" xfId="0">
      <protection locked="1" hidden="1"/>
    </xf>
    <xf numFmtId="0" fontId="27" fillId="0" borderId="0" applyAlignment="1" applyProtection="1" pivotButton="0" quotePrefix="0" xfId="0">
      <alignment horizontal="left" vertical="top" wrapText="1"/>
      <protection locked="1" hidden="1"/>
    </xf>
    <xf numFmtId="0" fontId="1" fillId="0" borderId="8" applyAlignment="1" applyProtection="1" pivotButton="0" quotePrefix="0" xfId="0">
      <alignment horizontal="center" vertical="top"/>
      <protection locked="1" hidden="1"/>
    </xf>
    <xf numFmtId="0" fontId="0" fillId="0" borderId="8" applyProtection="1" pivotButton="0" quotePrefix="0" xfId="0">
      <protection locked="1" hidden="1"/>
    </xf>
    <xf numFmtId="166" fontId="23" fillId="0" borderId="7" applyAlignment="1" applyProtection="1" pivotButton="0" quotePrefix="0" xfId="0">
      <alignment horizontal="left" vertical="top"/>
      <protection locked="1" hidden="1"/>
    </xf>
    <xf numFmtId="0" fontId="0" fillId="0" borderId="7" applyProtection="1" pivotButton="0" quotePrefix="0" xfId="0">
      <protection locked="1" hidden="1"/>
    </xf>
    <xf numFmtId="0" fontId="1" fillId="0" borderId="0" applyAlignment="1" applyProtection="1" pivotButton="0" quotePrefix="0" xfId="0">
      <alignment horizontal="center" vertical="top"/>
      <protection locked="1" hidden="1"/>
    </xf>
    <xf numFmtId="0" fontId="22" fillId="0" borderId="0" applyAlignment="1" applyProtection="1" pivotButton="0" quotePrefix="0" xfId="0">
      <alignment horizontal="left" vertical="top" wrapText="1"/>
      <protection locked="1" hidden="1"/>
    </xf>
    <xf numFmtId="4" fontId="24" fillId="0" borderId="0" applyAlignment="1" applyProtection="1" pivotButton="0" quotePrefix="0" xfId="0">
      <alignment horizontal="right" vertical="top"/>
      <protection locked="1" hidden="1"/>
    </xf>
    <xf numFmtId="0" fontId="30" fillId="0" borderId="0" applyAlignment="1" applyProtection="1" pivotButton="0" quotePrefix="0" xfId="0">
      <alignment horizontal="center" wrapText="1"/>
      <protection locked="1" hidden="1"/>
    </xf>
    <xf numFmtId="0" fontId="23" fillId="0" borderId="7" applyAlignment="1" applyProtection="1" pivotButton="0" quotePrefix="0" xfId="0">
      <alignment horizontal="left" vertical="top"/>
      <protection locked="1" hidden="1"/>
    </xf>
    <xf numFmtId="0" fontId="1" fillId="0" borderId="11" applyAlignment="1" applyProtection="1" pivotButton="0" quotePrefix="0" xfId="0">
      <alignment horizontal="center" vertical="top"/>
      <protection locked="1" hidden="1"/>
    </xf>
    <xf numFmtId="0" fontId="0" fillId="0" borderId="11" applyProtection="1" pivotButton="0" quotePrefix="0" xfId="0">
      <protection locked="1" hidden="1"/>
    </xf>
    <xf numFmtId="0" fontId="26" fillId="0" borderId="0" applyAlignment="1" applyProtection="1" pivotButton="0" quotePrefix="0" xfId="0">
      <alignment horizontal="left" vertical="top" wrapText="1"/>
      <protection locked="1" hidden="1"/>
    </xf>
    <xf numFmtId="0" fontId="27" fillId="0" borderId="0" applyAlignment="1" applyProtection="1" pivotButton="0" quotePrefix="0" xfId="0">
      <alignment horizontal="left" vertical="top"/>
      <protection locked="1" hidden="1"/>
    </xf>
    <xf numFmtId="0" fontId="22" fillId="0" borderId="0" applyAlignment="1" applyProtection="1" pivotButton="0" quotePrefix="0" xfId="0">
      <alignment horizontal="center" vertical="top" wrapText="1"/>
      <protection locked="1" hidden="1"/>
    </xf>
    <xf numFmtId="1" fontId="23" fillId="0" borderId="7" applyAlignment="1" applyProtection="1" pivotButton="0" quotePrefix="0" xfId="0">
      <alignment horizontal="left" vertical="top"/>
      <protection locked="1" hidden="1"/>
    </xf>
    <xf numFmtId="0" fontId="24" fillId="0" borderId="0" applyAlignment="1" applyProtection="1" pivotButton="0" quotePrefix="0" xfId="0">
      <alignment horizontal="left" vertical="top"/>
      <protection locked="1" hidden="1"/>
    </xf>
    <xf numFmtId="170" fontId="23" fillId="0" borderId="7" applyAlignment="1" applyProtection="1" pivotButton="0" quotePrefix="0" xfId="0">
      <alignment horizontal="left" vertical="top"/>
      <protection locked="1" hidden="1"/>
    </xf>
    <xf numFmtId="167" fontId="1" fillId="0" borderId="0" applyAlignment="1" applyProtection="1" pivotButton="0" quotePrefix="0" xfId="0">
      <alignment horizontal="left"/>
      <protection locked="1" hidden="1"/>
    </xf>
    <xf numFmtId="0" fontId="28" fillId="0" borderId="0" applyAlignment="1" applyProtection="1" pivotButton="0" quotePrefix="0" xfId="0">
      <alignment horizontal="left" vertical="top" wrapText="1"/>
      <protection locked="1" hidden="1"/>
    </xf>
    <xf numFmtId="0" fontId="26" fillId="0" borderId="0" applyAlignment="1" applyProtection="1" pivotButton="0" quotePrefix="0" xfId="0">
      <alignment horizontal="right" vertical="top" wrapText="1"/>
      <protection locked="1" hidden="1"/>
    </xf>
    <xf numFmtId="0" fontId="24" fillId="0" borderId="7" applyAlignment="1" applyProtection="1" pivotButton="0" quotePrefix="0" xfId="0">
      <alignment horizontal="center" vertical="top"/>
      <protection locked="1" hidden="1"/>
    </xf>
    <xf numFmtId="0" fontId="26" fillId="0" borderId="0" applyAlignment="1" applyProtection="1" pivotButton="0" quotePrefix="0" xfId="0">
      <alignment horizontal="left" vertical="top"/>
      <protection locked="1" hidden="1"/>
    </xf>
    <xf numFmtId="0" fontId="20" fillId="0" borderId="0" applyAlignment="1" applyProtection="1" pivotButton="0" quotePrefix="0" xfId="0">
      <alignment horizontal="left" vertical="top" wrapText="1"/>
      <protection locked="1" hidden="1"/>
    </xf>
    <xf numFmtId="9" fontId="22" fillId="0" borderId="0" applyAlignment="1" applyProtection="1" pivotButton="0" quotePrefix="0" xfId="0">
      <alignment horizontal="left" vertical="top" wrapText="1"/>
      <protection locked="1" hidden="1"/>
    </xf>
    <xf numFmtId="0" fontId="1" fillId="0" borderId="2" applyAlignment="1" applyProtection="1" pivotButton="0" quotePrefix="0" xfId="0">
      <alignment horizontal="center" vertical="top"/>
      <protection locked="1" hidden="1"/>
    </xf>
    <xf numFmtId="0" fontId="0" fillId="0" borderId="2" applyProtection="1" pivotButton="0" quotePrefix="0" xfId="0">
      <protection locked="1" hidden="1"/>
    </xf>
    <xf numFmtId="0" fontId="19" fillId="0" borderId="0" applyAlignment="1" applyProtection="1" pivotButton="0" quotePrefix="0" xfId="0">
      <alignment horizontal="left"/>
      <protection locked="1" hidden="1"/>
    </xf>
    <xf numFmtId="0" fontId="29" fillId="0" borderId="0" applyAlignment="1" applyProtection="1" pivotButton="0" quotePrefix="0" xfId="0">
      <alignment horizontal="left" vertical="top" wrapText="1"/>
      <protection locked="1" hidden="1"/>
    </xf>
    <xf numFmtId="4" fontId="26" fillId="0" borderId="0" applyAlignment="1" applyProtection="1" pivotButton="0" quotePrefix="0" xfId="0">
      <alignment horizontal="right" vertical="top" wrapText="1"/>
      <protection locked="1" hidden="1"/>
    </xf>
    <xf numFmtId="3" fontId="26" fillId="0" borderId="0" applyAlignment="1" applyProtection="1" pivotButton="0" quotePrefix="0" xfId="0">
      <alignment horizontal="left" vertical="top" wrapText="1"/>
      <protection locked="1" hidden="1"/>
    </xf>
    <xf numFmtId="0" fontId="25" fillId="0" borderId="0" applyAlignment="1" applyProtection="1" pivotButton="0" quotePrefix="0" xfId="0">
      <alignment horizontal="center" vertical="top" wrapText="1"/>
      <protection locked="1" hidden="1"/>
    </xf>
    <xf numFmtId="0" fontId="24" fillId="0" borderId="8" applyAlignment="1" applyProtection="1" pivotButton="0" quotePrefix="0" xfId="0">
      <alignment horizontal="left" vertical="top" wrapText="1"/>
      <protection locked="1" hidden="1"/>
    </xf>
    <xf numFmtId="171" fontId="0" fillId="0" borderId="0" pivotButton="0" quotePrefix="0" xfId="0"/>
  </cellXfs>
  <cellStyles count="4">
    <cellStyle name="Normal" xfId="0" builtinId="0"/>
    <cellStyle name="Comma 2" xfId="1"/>
    <cellStyle name="Normal 3" xfId="2"/>
    <cellStyle name="Hyperlink" xfId="3" builtinId="8"/>
  </cellStyles>
  <dxfs count="1">
    <dxf>
      <fill>
        <patternFill patternType="solid">
          <fgColor rgb="FFFFFF00"/>
          <bgColor rgb="FF00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00000"/>
      <rgbColor rgb="FF008000"/>
      <rgbColor rgb="FF000080"/>
      <rgbColor rgb="FF858585"/>
      <rgbColor rgb="FF800080"/>
      <rgbColor rgb="FF008080"/>
      <rgbColor rgb="FFBFBFBF"/>
      <rgbColor rgb="FF808080"/>
      <rgbColor rgb="FFAEAEAE"/>
      <rgbColor rgb="FF993366"/>
      <rgbColor rgb="FFFFF2CC"/>
      <rgbColor rgb="FFDCEAF7"/>
      <rgbColor rgb="FF660066"/>
      <rgbColor rgb="FFFF8080"/>
      <rgbColor rgb="FF0066CC"/>
      <rgbColor rgb="FFD1D1D1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1E5F5"/>
      <rgbColor rgb="FFDCDCDC"/>
      <rgbColor rgb="FFFFFF99"/>
      <rgbColor rgb="FFA6CAEC"/>
      <rgbColor rgb="FFFF99CC"/>
      <rgbColor rgb="FFCC99FF"/>
      <rgbColor rgb="FFD9D9D9"/>
      <rgbColor rgb="FF3366FF"/>
      <rgbColor rgb="FF33CCCC"/>
      <rgbColor rgb="FF99CC00"/>
      <rgbColor rgb="FFFFCC00"/>
      <rgbColor rgb="FFFF9900"/>
      <rgbColor rgb="FFFF6600"/>
      <rgbColor rgb="FF467886"/>
      <rgbColor rgb="FF999999"/>
      <rgbColor rgb="FF003366"/>
      <rgbColor rgb="FF339966"/>
      <rgbColor rgb="FF003300"/>
      <rgbColor rgb="FF333300"/>
      <rgbColor rgb="FF993300"/>
      <rgbColor rgb="FF993366"/>
      <rgbColor rgb="FF1F4E78"/>
      <rgbColor rgb="FF40404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177800</xdr:colOff>
          <xdr:row>14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Current Slip (PDF)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16</xdr:row>
          <xdr:rowOff>0</xdr:rowOff>
        </xdr:from>
        <xdr:to>
          <xdr:col>3</xdr:col>
          <xdr:colOff>177800</xdr:colOff>
          <xdr:row>17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All Slips (PDF)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</a:majorFont>
      <a:minorFont>
        <a:latin typeface="Aptos Narrow" panose="0211000402020202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Relationships xmlns="http://schemas.openxmlformats.org/package/2006/relationships"><Relationship Type="http://schemas.openxmlformats.org/officeDocument/2006/relationships/hyperlink" Target="mailto:web.brij@gmail.com" TargetMode="External" Id="rId1"/><Relationship Type="http://schemas.openxmlformats.org/officeDocument/2006/relationships/hyperlink" Target="mailto:web.vkash98@gmail.com" TargetMode="External" Id="rId2"/><Relationship Type="http://schemas.openxmlformats.org/officeDocument/2006/relationships/hyperlink" Target="mailto:ronsaini0009@gmail.com" TargetMode="External" Id="rId3"/><Relationship Type="http://schemas.openxmlformats.org/officeDocument/2006/relationships/hyperlink" Target="mailto:khokanpradhan22@gmail.com" TargetMode="External" Id="rId4"/><Relationship Type="http://schemas.openxmlformats.org/officeDocument/2006/relationships/hyperlink" Target="mailto:adarshprasad7@gmail.com" TargetMode="External" Id="rId5"/><Relationship Type="http://schemas.openxmlformats.org/officeDocument/2006/relationships/hyperlink" Target="mailto:search.arjunkumar@gmail.com" TargetMode="External" Id="rId6"/><Relationship Type="http://schemas.openxmlformats.org/officeDocument/2006/relationships/hyperlink" Target="mailto:naitikshukla324@gmail.com" TargetMode="External" Id="rId7"/><Relationship Type="http://schemas.openxmlformats.org/officeDocument/2006/relationships/hyperlink" Target="mailto:santoshkuma57717@gmail.com" TargetMode="External" Id="rId8"/><Relationship Type="http://schemas.openxmlformats.org/officeDocument/2006/relationships/hyperlink" Target="mailto:amanak9036@gmail.com" TargetMode="External" Id="rId9"/><Relationship Type="http://schemas.openxmlformats.org/officeDocument/2006/relationships/hyperlink" Target="mailto:saumyaagrahari101@gmail.com" TargetMode="External" Id="rId10"/><Relationship Type="http://schemas.openxmlformats.org/officeDocument/2006/relationships/hyperlink" Target="mailto:vivekvora8485@gmail.com" TargetMode="External" Id="rId11"/><Relationship Type="http://schemas.openxmlformats.org/officeDocument/2006/relationships/hyperlink" Target="mailto:chandanraj495@gmail.com" TargetMode="External" Id="rId12"/><Relationship Type="http://schemas.openxmlformats.org/officeDocument/2006/relationships/hyperlink" Target="mailto:manoj.kashyap.official@gmail.com" TargetMode="External" Id="rId13"/><Relationship Type="http://schemas.openxmlformats.org/officeDocument/2006/relationships/hyperlink" Target="mailto:Kaushalkumar704277@gmail.com" TargetMode="External" Id="rId14"/><Relationship Type="http://schemas.openxmlformats.org/officeDocument/2006/relationships/hyperlink" Target="mailto:vc699180@gmail.com" TargetMode="External" Id="rId15"/><Relationship Type="http://schemas.openxmlformats.org/officeDocument/2006/relationships/hyperlink" Target="mailto:tanwerantama@gmail.com" TargetMode="External" Id="rId16"/><Relationship Type="http://schemas.openxmlformats.org/officeDocument/2006/relationships/hyperlink" Target="mailto:dhruva.pathak@equipped.ai" TargetMode="External" Id="rId17"/><Relationship Type="http://schemas.openxmlformats.org/officeDocument/2006/relationships/hyperlink" Target="mailto:warisgulam50@gmail.com" TargetMode="External" Id="rId18"/><Relationship Type="http://schemas.openxmlformats.org/officeDocument/2006/relationships/hyperlink" Target="mailto:svashishtha1999@gmail.com" TargetMode="External" Id="rId19"/><Relationship Type="http://schemas.openxmlformats.org/officeDocument/2006/relationships/hyperlink" Target="mailto:Vivekkaul143@gmail.com" TargetMode="External" Id="rId20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B1:J500"/>
  <sheetViews>
    <sheetView showGridLines="0" zoomScaleNormal="100" workbookViewId="0">
      <selection activeCell="C9" sqref="C9"/>
    </sheetView>
  </sheetViews>
  <sheetFormatPr baseColWidth="8" defaultColWidth="8.54296875" defaultRowHeight="14.5"/>
  <cols>
    <col width="3" customWidth="1" style="103" min="1" max="1"/>
    <col width="24" customWidth="1" style="103" min="2" max="2"/>
    <col width="32" customWidth="1" style="103" min="3" max="3"/>
    <col width="3" customWidth="1" style="103" min="4" max="4"/>
    <col width="45" customWidth="1" style="103" min="5" max="5"/>
    <col hidden="1" width="2" customWidth="1" style="103" min="8" max="8"/>
    <col hidden="1" width="13" customWidth="1" style="103" min="10" max="10"/>
  </cols>
  <sheetData>
    <row r="1" ht="15" customHeight="1" s="103">
      <c r="H1" s="3" t="inlineStr">
        <is>
          <t>EmpList (helper - do not edit)</t>
        </is>
      </c>
      <c r="J1" s="3" t="inlineStr">
        <is>
          <t>MonthList (helper)</t>
        </is>
      </c>
    </row>
    <row r="2" ht="19.5" customHeight="1" s="103">
      <c r="B2" s="102" t="inlineStr">
        <is>
          <t>Salary Slip Generator</t>
        </is>
      </c>
      <c r="H2">
        <f>IFERROR('Master Data'!A2&amp;" - "&amp;'Master Data'!B2,"")</f>
        <v/>
      </c>
      <c r="J2">
        <f>TEXT('Salary sheet'!L2,"mmm""'""yy")</f>
        <v/>
      </c>
    </row>
    <row r="3" ht="15" customHeight="1" s="103">
      <c r="H3">
        <f>IFERROR('Master Data'!A3&amp;" - "&amp;'Master Data'!B3,"")</f>
        <v/>
      </c>
      <c r="J3">
        <f>TEXT('Salary sheet'!M2,"mmm""'""yy")</f>
        <v/>
      </c>
    </row>
    <row r="4" ht="21.75" customHeight="1" s="103">
      <c r="B4" s="4" t="inlineStr">
        <is>
          <t>Select Employee</t>
        </is>
      </c>
      <c r="C4" s="5" t="inlineStr">
        <is>
          <t>INF0034 - Vivek Kaul</t>
        </is>
      </c>
      <c r="H4">
        <f>IFERROR('Master Data'!A4&amp;" - "&amp;'Master Data'!B4,"")</f>
        <v/>
      </c>
      <c r="J4">
        <f>TEXT('Salary sheet'!N2,"mmm""'""yy")</f>
        <v/>
      </c>
    </row>
    <row r="5" ht="15" customHeight="1" s="103">
      <c r="H5">
        <f>IFERROR('Master Data'!A5&amp;" - "&amp;'Master Data'!B5,"")</f>
        <v/>
      </c>
      <c r="J5">
        <f>TEXT('Salary sheet'!O2,"mmm""'""yy")</f>
        <v/>
      </c>
    </row>
    <row r="6" ht="21.75" customHeight="1" s="103">
      <c r="B6" s="4" t="inlineStr">
        <is>
          <t>Select Month</t>
        </is>
      </c>
      <c r="C6" s="5" t="inlineStr">
        <is>
          <t>Jun'26</t>
        </is>
      </c>
      <c r="H6">
        <f>IFERROR('Master Data'!A6&amp;" - "&amp;'Master Data'!B6,"")</f>
        <v/>
      </c>
      <c r="J6">
        <f>TEXT('Salary sheet'!P2,"mmm""'""yy")</f>
        <v/>
      </c>
    </row>
    <row r="7" ht="15" customHeight="1" s="103">
      <c r="H7">
        <f>IFERROR('Master Data'!A7&amp;" - "&amp;'Master Data'!B7,"")</f>
        <v/>
      </c>
      <c r="J7">
        <f>TEXT('Salary sheet'!Q2,"mmm""'""yy")</f>
        <v/>
      </c>
    </row>
    <row r="8" ht="15" customHeight="1" s="103">
      <c r="H8">
        <f>IFERROR('Master Data'!A8&amp;" - "&amp;'Master Data'!B8,"")</f>
        <v/>
      </c>
      <c r="J8">
        <f>TEXT('Salary sheet'!R2,"mmm""'""yy")</f>
        <v/>
      </c>
    </row>
    <row r="9" ht="15" customHeight="1" s="103">
      <c r="B9" s="4" t="inlineStr">
        <is>
          <t>Output folder for PDFs:</t>
        </is>
      </c>
      <c r="C9" s="55" t="inlineStr">
        <is>
          <t>D:\Shrikant\Salary Slips\May'26</t>
        </is>
      </c>
      <c r="H9">
        <f>IFERROR('Master Data'!A9&amp;" - "&amp;'Master Data'!B9,"")</f>
        <v/>
      </c>
      <c r="J9">
        <f>TEXT('Salary sheet'!S2,"mmm""'""yy")</f>
        <v/>
      </c>
    </row>
    <row r="10" ht="15" customHeight="1" s="103">
      <c r="B10" s="104" t="inlineStr">
        <is>
          <t>(leave blank to save in a "Payslips" folder next to this file)</t>
        </is>
      </c>
      <c r="H10">
        <f>IFERROR('Master Data'!A10&amp;" - "&amp;'Master Data'!B10,"")</f>
        <v/>
      </c>
      <c r="J10">
        <f>TEXT('Salary sheet'!T2,"mmm""'""yy")</f>
        <v/>
      </c>
    </row>
    <row r="11" ht="15" customHeight="1" s="103">
      <c r="H11">
        <f>IFERROR('Master Data'!A11&amp;" - "&amp;'Master Data'!B11,"")</f>
        <v/>
      </c>
      <c r="J11">
        <f>TEXT('Salary sheet'!U2,"mmm""'""yy")</f>
        <v/>
      </c>
    </row>
    <row r="12" ht="15" customHeight="1" s="103">
      <c r="H12">
        <f>IFERROR('Master Data'!A12&amp;" - "&amp;'Master Data'!B12,"")</f>
        <v/>
      </c>
      <c r="J12">
        <f>TEXT('Salary sheet'!V2,"mmm""'""yy")</f>
        <v/>
      </c>
    </row>
    <row r="13" ht="18" customHeight="1" s="103">
      <c r="B13" s="4" t="inlineStr">
        <is>
          <t>Actions</t>
        </is>
      </c>
      <c r="H13">
        <f>IFERROR('Master Data'!A13&amp;" - "&amp;'Master Data'!B13,"")</f>
        <v/>
      </c>
      <c r="J13">
        <f>TEXT('Salary sheet'!W2,"mmm""'""yy")</f>
        <v/>
      </c>
    </row>
    <row r="14" ht="21.75" customHeight="1" s="103">
      <c r="H14">
        <f>IFERROR('Master Data'!A14&amp;" - "&amp;'Master Data'!B14,"")</f>
        <v/>
      </c>
    </row>
    <row r="15" ht="15" customHeight="1" s="103">
      <c r="H15">
        <f>IFERROR('Master Data'!A15&amp;" - "&amp;'Master Data'!B15,"")</f>
        <v/>
      </c>
    </row>
    <row r="16" ht="15" customHeight="1" s="103">
      <c r="H16">
        <f>IFERROR('Master Data'!A16&amp;" - "&amp;'Master Data'!B16,"")</f>
        <v/>
      </c>
    </row>
    <row r="17" ht="21.75" customHeight="1" s="103">
      <c r="H17">
        <f>IFERROR('Master Data'!A17&amp;" - "&amp;'Master Data'!B17,"")</f>
        <v/>
      </c>
    </row>
    <row r="18" ht="15" customHeight="1" s="103">
      <c r="H18">
        <f>IFERROR('Master Data'!A18&amp;" - "&amp;'Master Data'!B18,"")</f>
        <v/>
      </c>
    </row>
    <row r="19" ht="15" customHeight="1" s="103">
      <c r="H19">
        <f>IFERROR('Master Data'!A19&amp;" - "&amp;'Master Data'!B19,"")</f>
        <v/>
      </c>
    </row>
    <row r="20" ht="30" customHeight="1" s="103">
      <c r="B20" s="105" t="inlineStr">
        <is>
          <t>Tip: "Generate Current Slip" exports the employee/month above. "Generate All Slips" loops every employee for the selected month and saves one PDF each. Employees with 0 attendance for the month (left the organisation) are skipped. PF and Income Tax are deducted automatically on the Salary Slip.</t>
        </is>
      </c>
      <c r="H20">
        <f>IFERROR('Master Data'!A20&amp;" - "&amp;'Master Data'!B20,"")</f>
        <v/>
      </c>
    </row>
    <row r="21" ht="15" customHeight="1" s="103">
      <c r="H21">
        <f>IFERROR('Master Data'!A21&amp;" - "&amp;'Master Data'!B21,"")</f>
        <v/>
      </c>
    </row>
    <row r="22" ht="15" customHeight="1" s="103">
      <c r="H22">
        <f>IFERROR('Master Data'!A22&amp;" - "&amp;'Master Data'!B22,"")</f>
        <v/>
      </c>
    </row>
    <row r="23" ht="15" customHeight="1" s="103">
      <c r="H23">
        <f>IFERROR('Master Data'!A23&amp;" - "&amp;'Master Data'!B23,"")</f>
        <v/>
      </c>
    </row>
    <row r="24" ht="15" customHeight="1" s="103">
      <c r="H24">
        <f>IFERROR('Master Data'!A24&amp;" - "&amp;'Master Data'!B24,"")</f>
        <v/>
      </c>
    </row>
    <row r="25" ht="15" customHeight="1" s="103">
      <c r="H25">
        <f>IFERROR('Master Data'!A25&amp;" - "&amp;'Master Data'!B25,"")</f>
        <v/>
      </c>
    </row>
    <row r="26" ht="15" customHeight="1" s="103">
      <c r="H26">
        <f>IFERROR('Master Data'!A26&amp;" - "&amp;'Master Data'!B26,"")</f>
        <v/>
      </c>
    </row>
    <row r="27" ht="15" customHeight="1" s="103">
      <c r="H27">
        <f>IFERROR('Master Data'!A27&amp;" - "&amp;'Master Data'!B27,"")</f>
        <v/>
      </c>
    </row>
    <row r="28" ht="15" customHeight="1" s="103">
      <c r="H28">
        <f>IFERROR('Master Data'!A28&amp;" - "&amp;'Master Data'!B28,"")</f>
        <v/>
      </c>
    </row>
    <row r="29" ht="15" customHeight="1" s="103">
      <c r="H29">
        <f>IFERROR('Master Data'!A29&amp;" - "&amp;'Master Data'!B29,"")</f>
        <v/>
      </c>
    </row>
    <row r="30" ht="15" customHeight="1" s="103">
      <c r="H30">
        <f>IFERROR('Master Data'!A30&amp;" - "&amp;'Master Data'!B30,"")</f>
        <v/>
      </c>
    </row>
    <row r="31" ht="15" customHeight="1" s="103">
      <c r="H31">
        <f>IFERROR('Master Data'!A31&amp;" - "&amp;'Master Data'!B31,"")</f>
        <v/>
      </c>
    </row>
    <row r="32">
      <c r="H32" s="88">
        <f>IFERROR('Master Data'!A32&amp;" - "&amp;'Master Data'!B32,"")</f>
        <v/>
      </c>
    </row>
    <row r="33">
      <c r="H33" s="88">
        <f>IFERROR('Master Data'!A33&amp;" - "&amp;'Master Data'!B33,"")</f>
        <v/>
      </c>
    </row>
    <row r="34">
      <c r="H34" s="88">
        <f>IFERROR('Master Data'!#REF!&amp;" - "&amp;'Master Data'!#REF!,"")</f>
        <v/>
      </c>
    </row>
    <row r="35">
      <c r="H35" s="88">
        <f>IFERROR('Master Data'!#REF!&amp;" - "&amp;'Master Data'!#REF!,"")</f>
        <v/>
      </c>
    </row>
    <row r="36">
      <c r="H36" s="88">
        <f>IFERROR('Master Data'!A34&amp;" - "&amp;'Master Data'!B34,"")</f>
        <v/>
      </c>
    </row>
    <row r="37">
      <c r="H37" s="88">
        <f>IFERROR('Master Data'!A35&amp;" - "&amp;'Master Data'!B35,"")</f>
        <v/>
      </c>
    </row>
    <row r="38">
      <c r="H38" s="88">
        <f>IFERROR('Master Data'!A36&amp;" - "&amp;'Master Data'!B36,"")</f>
        <v/>
      </c>
    </row>
    <row r="39">
      <c r="H39" s="88">
        <f>IFERROR('Master Data'!A37&amp;" - "&amp;'Master Data'!B37,"")</f>
        <v/>
      </c>
    </row>
    <row r="40">
      <c r="H40" s="88">
        <f>IFERROR('Master Data'!A38&amp;" - "&amp;'Master Data'!B38,"")</f>
        <v/>
      </c>
    </row>
    <row r="41">
      <c r="H41" s="88">
        <f>IFERROR('Master Data'!A39&amp;" - "&amp;'Master Data'!B39,"")</f>
        <v/>
      </c>
    </row>
    <row r="42">
      <c r="H42" s="88">
        <f>IFERROR('Master Data'!A40&amp;" - "&amp;'Master Data'!B40,"")</f>
        <v/>
      </c>
    </row>
    <row r="43">
      <c r="H43" s="88">
        <f>IFERROR('Master Data'!A41&amp;" - "&amp;'Master Data'!B41,"")</f>
        <v/>
      </c>
    </row>
    <row r="44">
      <c r="H44" s="88">
        <f>IFERROR('Master Data'!A42&amp;" - "&amp;'Master Data'!B42,"")</f>
        <v/>
      </c>
    </row>
    <row r="45">
      <c r="H45" s="88">
        <f>IFERROR('Master Data'!A43&amp;" - "&amp;'Master Data'!B43,"")</f>
        <v/>
      </c>
    </row>
    <row r="46">
      <c r="H46" s="88">
        <f>IFERROR('Master Data'!A44&amp;" - "&amp;'Master Data'!B44,"")</f>
        <v/>
      </c>
    </row>
    <row r="47">
      <c r="H47" s="88">
        <f>IFERROR('Master Data'!A45&amp;" - "&amp;'Master Data'!B45,"")</f>
        <v/>
      </c>
    </row>
    <row r="48">
      <c r="H48" s="88">
        <f>IFERROR('Master Data'!A46&amp;" - "&amp;'Master Data'!B46,"")</f>
        <v/>
      </c>
    </row>
    <row r="49">
      <c r="H49" s="88">
        <f>IFERROR('Master Data'!A47&amp;" - "&amp;'Master Data'!B47,"")</f>
        <v/>
      </c>
    </row>
    <row r="50">
      <c r="H50" s="88">
        <f>IFERROR('Master Data'!A48&amp;" - "&amp;'Master Data'!B48,"")</f>
        <v/>
      </c>
    </row>
    <row r="51">
      <c r="H51" s="88">
        <f>IFERROR('Master Data'!A49&amp;" - "&amp;'Master Data'!B49,"")</f>
        <v/>
      </c>
    </row>
    <row r="52">
      <c r="H52" s="88">
        <f>IFERROR('Master Data'!A50&amp;" - "&amp;'Master Data'!B50,"")</f>
        <v/>
      </c>
    </row>
    <row r="53">
      <c r="H53" s="88">
        <f>IFERROR('Master Data'!A51&amp;" - "&amp;'Master Data'!B51,"")</f>
        <v/>
      </c>
    </row>
    <row r="54">
      <c r="H54" s="88">
        <f>IFERROR('Master Data'!A52&amp;" - "&amp;'Master Data'!B52,"")</f>
        <v/>
      </c>
    </row>
    <row r="55">
      <c r="H55" s="88">
        <f>IFERROR('Master Data'!A53&amp;" - "&amp;'Master Data'!B53,"")</f>
        <v/>
      </c>
    </row>
    <row r="56">
      <c r="H56" s="88">
        <f>IFERROR('Master Data'!A54&amp;" - "&amp;'Master Data'!B54,"")</f>
        <v/>
      </c>
    </row>
    <row r="57">
      <c r="H57" s="88">
        <f>IFERROR('Master Data'!A55&amp;" - "&amp;'Master Data'!B55,"")</f>
        <v/>
      </c>
    </row>
    <row r="58">
      <c r="H58" s="88">
        <f>IFERROR('Master Data'!A56&amp;" - "&amp;'Master Data'!B56,"")</f>
        <v/>
      </c>
    </row>
    <row r="59">
      <c r="H59" s="88">
        <f>IFERROR('Master Data'!A57&amp;" - "&amp;'Master Data'!B57,"")</f>
        <v/>
      </c>
    </row>
    <row r="60">
      <c r="H60" s="88">
        <f>IFERROR('Master Data'!A58&amp;" - "&amp;'Master Data'!B58,"")</f>
        <v/>
      </c>
    </row>
    <row r="61">
      <c r="H61" s="88">
        <f>IFERROR('Master Data'!A59&amp;" - "&amp;'Master Data'!B59,"")</f>
        <v/>
      </c>
    </row>
    <row r="62">
      <c r="H62" s="88">
        <f>IFERROR('Master Data'!A60&amp;" - "&amp;'Master Data'!B60,"")</f>
        <v/>
      </c>
    </row>
    <row r="63">
      <c r="H63" s="88">
        <f>IFERROR('Master Data'!A61&amp;" - "&amp;'Master Data'!B61,"")</f>
        <v/>
      </c>
    </row>
    <row r="64">
      <c r="H64" s="88">
        <f>IFERROR('Master Data'!A62&amp;" - "&amp;'Master Data'!B62,"")</f>
        <v/>
      </c>
    </row>
    <row r="65">
      <c r="H65" s="88">
        <f>IFERROR('Master Data'!A63&amp;" - "&amp;'Master Data'!B63,"")</f>
        <v/>
      </c>
    </row>
    <row r="66">
      <c r="H66" s="88">
        <f>IFERROR('Master Data'!A64&amp;" - "&amp;'Master Data'!B64,"")</f>
        <v/>
      </c>
    </row>
    <row r="67">
      <c r="H67" s="88">
        <f>IFERROR('Master Data'!A65&amp;" - "&amp;'Master Data'!B65,"")</f>
        <v/>
      </c>
    </row>
    <row r="68">
      <c r="H68" s="88">
        <f>IFERROR('Master Data'!A66&amp;" - "&amp;'Master Data'!B66,"")</f>
        <v/>
      </c>
    </row>
    <row r="69">
      <c r="H69" s="88">
        <f>IFERROR('Master Data'!A67&amp;" - "&amp;'Master Data'!B67,"")</f>
        <v/>
      </c>
    </row>
    <row r="70">
      <c r="H70" s="88">
        <f>IFERROR('Master Data'!A68&amp;" - "&amp;'Master Data'!B68,"")</f>
        <v/>
      </c>
    </row>
    <row r="71">
      <c r="H71" s="88">
        <f>IFERROR('Master Data'!A69&amp;" - "&amp;'Master Data'!B69,"")</f>
        <v/>
      </c>
    </row>
    <row r="72">
      <c r="H72" s="88">
        <f>IFERROR('Master Data'!A70&amp;" - "&amp;'Master Data'!B70,"")</f>
        <v/>
      </c>
    </row>
    <row r="73">
      <c r="H73" s="88">
        <f>IFERROR('Master Data'!A71&amp;" - "&amp;'Master Data'!B71,"")</f>
        <v/>
      </c>
    </row>
    <row r="74">
      <c r="H74" s="88">
        <f>IFERROR('Master Data'!A72&amp;" - "&amp;'Master Data'!B72,"")</f>
        <v/>
      </c>
    </row>
    <row r="75">
      <c r="H75" s="88">
        <f>IFERROR('Master Data'!A73&amp;" - "&amp;'Master Data'!B73,"")</f>
        <v/>
      </c>
    </row>
    <row r="76">
      <c r="H76" s="88">
        <f>IFERROR('Master Data'!A74&amp;" - "&amp;'Master Data'!B74,"")</f>
        <v/>
      </c>
    </row>
    <row r="77">
      <c r="H77" s="88">
        <f>IFERROR('Master Data'!A75&amp;" - "&amp;'Master Data'!B75,"")</f>
        <v/>
      </c>
    </row>
    <row r="78">
      <c r="H78" s="88">
        <f>IFERROR('Master Data'!A76&amp;" - "&amp;'Master Data'!B76,"")</f>
        <v/>
      </c>
    </row>
    <row r="79">
      <c r="H79" s="88">
        <f>IFERROR('Master Data'!A77&amp;" - "&amp;'Master Data'!B77,"")</f>
        <v/>
      </c>
    </row>
    <row r="80">
      <c r="H80" s="88">
        <f>IFERROR('Master Data'!A78&amp;" - "&amp;'Master Data'!B78,"")</f>
        <v/>
      </c>
    </row>
    <row r="81">
      <c r="H81" s="88">
        <f>IFERROR('Master Data'!A79&amp;" - "&amp;'Master Data'!B79,"")</f>
        <v/>
      </c>
    </row>
    <row r="82">
      <c r="H82" s="88">
        <f>IFERROR('Master Data'!A80&amp;" - "&amp;'Master Data'!B80,"")</f>
        <v/>
      </c>
    </row>
    <row r="83">
      <c r="H83" s="88">
        <f>IFERROR('Master Data'!A81&amp;" - "&amp;'Master Data'!B81,"")</f>
        <v/>
      </c>
    </row>
    <row r="84">
      <c r="H84" s="88">
        <f>IFERROR('Master Data'!A82&amp;" - "&amp;'Master Data'!B82,"")</f>
        <v/>
      </c>
    </row>
    <row r="85">
      <c r="H85" s="88">
        <f>IFERROR('Master Data'!A83&amp;" - "&amp;'Master Data'!B83,"")</f>
        <v/>
      </c>
    </row>
    <row r="86">
      <c r="H86" s="88">
        <f>IFERROR('Master Data'!A84&amp;" - "&amp;'Master Data'!B84,"")</f>
        <v/>
      </c>
    </row>
    <row r="87">
      <c r="H87" s="88">
        <f>IFERROR('Master Data'!A85&amp;" - "&amp;'Master Data'!B85,"")</f>
        <v/>
      </c>
    </row>
    <row r="88">
      <c r="H88" s="88">
        <f>IFERROR('Master Data'!A86&amp;" - "&amp;'Master Data'!B86,"")</f>
        <v/>
      </c>
    </row>
    <row r="89">
      <c r="H89" s="88">
        <f>IFERROR('Master Data'!A87&amp;" - "&amp;'Master Data'!B87,"")</f>
        <v/>
      </c>
    </row>
    <row r="90">
      <c r="H90" s="88">
        <f>IFERROR('Master Data'!A88&amp;" - "&amp;'Master Data'!B88,"")</f>
        <v/>
      </c>
    </row>
    <row r="91">
      <c r="H91" s="88">
        <f>IFERROR('Master Data'!A89&amp;" - "&amp;'Master Data'!B89,"")</f>
        <v/>
      </c>
    </row>
    <row r="92">
      <c r="H92" s="88">
        <f>IFERROR('Master Data'!A90&amp;" - "&amp;'Master Data'!B90,"")</f>
        <v/>
      </c>
    </row>
    <row r="93">
      <c r="H93" s="88">
        <f>IFERROR('Master Data'!A91&amp;" - "&amp;'Master Data'!B91,"")</f>
        <v/>
      </c>
    </row>
    <row r="94">
      <c r="H94" s="88">
        <f>IFERROR('Master Data'!A92&amp;" - "&amp;'Master Data'!B92,"")</f>
        <v/>
      </c>
    </row>
    <row r="95">
      <c r="H95" s="88">
        <f>IFERROR('Master Data'!A93&amp;" - "&amp;'Master Data'!B93,"")</f>
        <v/>
      </c>
    </row>
    <row r="96">
      <c r="H96" s="88">
        <f>IFERROR('Master Data'!A94&amp;" - "&amp;'Master Data'!B94,"")</f>
        <v/>
      </c>
    </row>
    <row r="97">
      <c r="H97" s="88">
        <f>IFERROR('Master Data'!A95&amp;" - "&amp;'Master Data'!B95,"")</f>
        <v/>
      </c>
    </row>
    <row r="98">
      <c r="H98" s="88">
        <f>IFERROR('Master Data'!A96&amp;" - "&amp;'Master Data'!B96,"")</f>
        <v/>
      </c>
    </row>
    <row r="99">
      <c r="H99" s="88">
        <f>IFERROR('Master Data'!A97&amp;" - "&amp;'Master Data'!B97,"")</f>
        <v/>
      </c>
    </row>
    <row r="100">
      <c r="H100" s="88">
        <f>IFERROR('Master Data'!A98&amp;" - "&amp;'Master Data'!B98,"")</f>
        <v/>
      </c>
    </row>
    <row r="101">
      <c r="H101" s="88">
        <f>IFERROR('Master Data'!A99&amp;" - "&amp;'Master Data'!B99,"")</f>
        <v/>
      </c>
    </row>
    <row r="102">
      <c r="H102" s="88">
        <f>IFERROR('Master Data'!A100&amp;" - "&amp;'Master Data'!B100,"")</f>
        <v/>
      </c>
    </row>
    <row r="103">
      <c r="H103" s="88">
        <f>IFERROR('Master Data'!A101&amp;" - "&amp;'Master Data'!B101,"")</f>
        <v/>
      </c>
    </row>
    <row r="104">
      <c r="H104" s="88">
        <f>IFERROR('Master Data'!A102&amp;" - "&amp;'Master Data'!B102,"")</f>
        <v/>
      </c>
    </row>
    <row r="105">
      <c r="H105" s="88">
        <f>IFERROR('Master Data'!A103&amp;" - "&amp;'Master Data'!B103,"")</f>
        <v/>
      </c>
    </row>
    <row r="106">
      <c r="H106" s="88">
        <f>IFERROR('Master Data'!A104&amp;" - "&amp;'Master Data'!B104,"")</f>
        <v/>
      </c>
    </row>
    <row r="107">
      <c r="H107" s="88">
        <f>IFERROR('Master Data'!A105&amp;" - "&amp;'Master Data'!B105,"")</f>
        <v/>
      </c>
    </row>
    <row r="108">
      <c r="H108" s="88">
        <f>IFERROR('Master Data'!A106&amp;" - "&amp;'Master Data'!B106,"")</f>
        <v/>
      </c>
    </row>
    <row r="109">
      <c r="H109" s="88">
        <f>IFERROR('Master Data'!A107&amp;" - "&amp;'Master Data'!B107,"")</f>
        <v/>
      </c>
    </row>
    <row r="110">
      <c r="H110" s="88">
        <f>IFERROR('Master Data'!A108&amp;" - "&amp;'Master Data'!B108,"")</f>
        <v/>
      </c>
    </row>
    <row r="111">
      <c r="H111" s="88">
        <f>IFERROR('Master Data'!A109&amp;" - "&amp;'Master Data'!B109,"")</f>
        <v/>
      </c>
    </row>
    <row r="112">
      <c r="H112" s="88">
        <f>IFERROR('Master Data'!A110&amp;" - "&amp;'Master Data'!B110,"")</f>
        <v/>
      </c>
    </row>
    <row r="113">
      <c r="H113" s="88">
        <f>IFERROR('Master Data'!A111&amp;" - "&amp;'Master Data'!B111,"")</f>
        <v/>
      </c>
    </row>
    <row r="114">
      <c r="H114" s="88">
        <f>IFERROR('Master Data'!A112&amp;" - "&amp;'Master Data'!B112,"")</f>
        <v/>
      </c>
    </row>
    <row r="115">
      <c r="H115" s="88">
        <f>IFERROR('Master Data'!A113&amp;" - "&amp;'Master Data'!B113,"")</f>
        <v/>
      </c>
    </row>
    <row r="116">
      <c r="H116" s="88">
        <f>IFERROR('Master Data'!A114&amp;" - "&amp;'Master Data'!B114,"")</f>
        <v/>
      </c>
    </row>
    <row r="117">
      <c r="H117" s="88">
        <f>IFERROR('Master Data'!A115&amp;" - "&amp;'Master Data'!B115,"")</f>
        <v/>
      </c>
    </row>
    <row r="118">
      <c r="H118" s="88">
        <f>IFERROR('Master Data'!A116&amp;" - "&amp;'Master Data'!B116,"")</f>
        <v/>
      </c>
    </row>
    <row r="119">
      <c r="H119" s="88">
        <f>IFERROR('Master Data'!A117&amp;" - "&amp;'Master Data'!B117,"")</f>
        <v/>
      </c>
    </row>
    <row r="120">
      <c r="H120" s="88">
        <f>IFERROR('Master Data'!A118&amp;" - "&amp;'Master Data'!B118,"")</f>
        <v/>
      </c>
    </row>
    <row r="121">
      <c r="H121" s="88">
        <f>IFERROR('Master Data'!A119&amp;" - "&amp;'Master Data'!B119,"")</f>
        <v/>
      </c>
    </row>
    <row r="122">
      <c r="H122" s="88">
        <f>IFERROR('Master Data'!A120&amp;" - "&amp;'Master Data'!B120,"")</f>
        <v/>
      </c>
    </row>
    <row r="123">
      <c r="H123" s="88">
        <f>IFERROR('Master Data'!A121&amp;" - "&amp;'Master Data'!B121,"")</f>
        <v/>
      </c>
    </row>
    <row r="124">
      <c r="H124" s="88">
        <f>IFERROR('Master Data'!A122&amp;" - "&amp;'Master Data'!B122,"")</f>
        <v/>
      </c>
    </row>
    <row r="125">
      <c r="H125" s="88">
        <f>IFERROR('Master Data'!A123&amp;" - "&amp;'Master Data'!B123,"")</f>
        <v/>
      </c>
    </row>
    <row r="126">
      <c r="H126" s="88">
        <f>IFERROR('Master Data'!A124&amp;" - "&amp;'Master Data'!B124,"")</f>
        <v/>
      </c>
    </row>
    <row r="127">
      <c r="H127" s="88">
        <f>IFERROR('Master Data'!A125&amp;" - "&amp;'Master Data'!B125,"")</f>
        <v/>
      </c>
    </row>
    <row r="128">
      <c r="H128" s="88">
        <f>IFERROR('Master Data'!A126&amp;" - "&amp;'Master Data'!B126,"")</f>
        <v/>
      </c>
    </row>
    <row r="129">
      <c r="H129" s="88">
        <f>IFERROR('Master Data'!A127&amp;" - "&amp;'Master Data'!B127,"")</f>
        <v/>
      </c>
    </row>
    <row r="130">
      <c r="H130" s="88">
        <f>IFERROR('Master Data'!A128&amp;" - "&amp;'Master Data'!B128,"")</f>
        <v/>
      </c>
    </row>
    <row r="131">
      <c r="H131" s="88">
        <f>IFERROR('Master Data'!A129&amp;" - "&amp;'Master Data'!B129,"")</f>
        <v/>
      </c>
    </row>
    <row r="132">
      <c r="H132" s="88">
        <f>IFERROR('Master Data'!A130&amp;" - "&amp;'Master Data'!B130,"")</f>
        <v/>
      </c>
    </row>
    <row r="133">
      <c r="H133" s="88">
        <f>IFERROR('Master Data'!A131&amp;" - "&amp;'Master Data'!B131,"")</f>
        <v/>
      </c>
    </row>
    <row r="134">
      <c r="H134" s="88">
        <f>IFERROR('Master Data'!A132&amp;" - "&amp;'Master Data'!B132,"")</f>
        <v/>
      </c>
    </row>
    <row r="135">
      <c r="H135" s="88">
        <f>IFERROR('Master Data'!A133&amp;" - "&amp;'Master Data'!B133,"")</f>
        <v/>
      </c>
    </row>
    <row r="136">
      <c r="H136" s="88">
        <f>IFERROR('Master Data'!A134&amp;" - "&amp;'Master Data'!B134,"")</f>
        <v/>
      </c>
    </row>
    <row r="137">
      <c r="H137" s="88">
        <f>IFERROR('Master Data'!A135&amp;" - "&amp;'Master Data'!B135,"")</f>
        <v/>
      </c>
    </row>
    <row r="138">
      <c r="H138" s="88">
        <f>IFERROR('Master Data'!A136&amp;" - "&amp;'Master Data'!B136,"")</f>
        <v/>
      </c>
    </row>
    <row r="139">
      <c r="H139" s="88">
        <f>IFERROR('Master Data'!A137&amp;" - "&amp;'Master Data'!B137,"")</f>
        <v/>
      </c>
    </row>
    <row r="140">
      <c r="H140" s="88">
        <f>IFERROR('Master Data'!A138&amp;" - "&amp;'Master Data'!B138,"")</f>
        <v/>
      </c>
    </row>
    <row r="141">
      <c r="H141" s="88">
        <f>IFERROR('Master Data'!A139&amp;" - "&amp;'Master Data'!B139,"")</f>
        <v/>
      </c>
    </row>
    <row r="142">
      <c r="H142" s="88">
        <f>IFERROR('Master Data'!A140&amp;" - "&amp;'Master Data'!B140,"")</f>
        <v/>
      </c>
    </row>
    <row r="143">
      <c r="H143" s="88">
        <f>IFERROR('Master Data'!A141&amp;" - "&amp;'Master Data'!B141,"")</f>
        <v/>
      </c>
    </row>
    <row r="144">
      <c r="H144" s="88">
        <f>IFERROR('Master Data'!A142&amp;" - "&amp;'Master Data'!B142,"")</f>
        <v/>
      </c>
    </row>
    <row r="145">
      <c r="H145" s="88">
        <f>IFERROR('Master Data'!A143&amp;" - "&amp;'Master Data'!B143,"")</f>
        <v/>
      </c>
    </row>
    <row r="146">
      <c r="H146" s="88">
        <f>IFERROR('Master Data'!A144&amp;" - "&amp;'Master Data'!B144,"")</f>
        <v/>
      </c>
    </row>
    <row r="147">
      <c r="H147" s="88">
        <f>IFERROR('Master Data'!A145&amp;" - "&amp;'Master Data'!B145,"")</f>
        <v/>
      </c>
    </row>
    <row r="148">
      <c r="H148" s="88">
        <f>IFERROR('Master Data'!A146&amp;" - "&amp;'Master Data'!B146,"")</f>
        <v/>
      </c>
    </row>
    <row r="149">
      <c r="H149" s="88">
        <f>IFERROR('Master Data'!A147&amp;" - "&amp;'Master Data'!B147,"")</f>
        <v/>
      </c>
    </row>
    <row r="150">
      <c r="H150" s="88">
        <f>IFERROR('Master Data'!A148&amp;" - "&amp;'Master Data'!B148,"")</f>
        <v/>
      </c>
    </row>
    <row r="151">
      <c r="H151" s="88">
        <f>IFERROR('Master Data'!A149&amp;" - "&amp;'Master Data'!B149,"")</f>
        <v/>
      </c>
    </row>
    <row r="152">
      <c r="H152" s="88">
        <f>IFERROR('Master Data'!A150&amp;" - "&amp;'Master Data'!B150,"")</f>
        <v/>
      </c>
    </row>
    <row r="153">
      <c r="H153" s="88">
        <f>IFERROR('Master Data'!A151&amp;" - "&amp;'Master Data'!B151,"")</f>
        <v/>
      </c>
    </row>
    <row r="154">
      <c r="H154" s="88">
        <f>IFERROR('Master Data'!A152&amp;" - "&amp;'Master Data'!B152,"")</f>
        <v/>
      </c>
    </row>
    <row r="155">
      <c r="H155" s="88">
        <f>IFERROR('Master Data'!A153&amp;" - "&amp;'Master Data'!B153,"")</f>
        <v/>
      </c>
    </row>
    <row r="156">
      <c r="H156" s="88">
        <f>IFERROR('Master Data'!A154&amp;" - "&amp;'Master Data'!B154,"")</f>
        <v/>
      </c>
    </row>
    <row r="157">
      <c r="H157" s="88">
        <f>IFERROR('Master Data'!A155&amp;" - "&amp;'Master Data'!B155,"")</f>
        <v/>
      </c>
    </row>
    <row r="158">
      <c r="H158" s="88">
        <f>IFERROR('Master Data'!A156&amp;" - "&amp;'Master Data'!B156,"")</f>
        <v/>
      </c>
    </row>
    <row r="159">
      <c r="H159" s="88">
        <f>IFERROR('Master Data'!A157&amp;" - "&amp;'Master Data'!B157,"")</f>
        <v/>
      </c>
    </row>
    <row r="160">
      <c r="H160" s="88">
        <f>IFERROR('Master Data'!A158&amp;" - "&amp;'Master Data'!B158,"")</f>
        <v/>
      </c>
    </row>
    <row r="161">
      <c r="H161" s="88">
        <f>IFERROR('Master Data'!A159&amp;" - "&amp;'Master Data'!B159,"")</f>
        <v/>
      </c>
    </row>
    <row r="162">
      <c r="H162" s="88">
        <f>IFERROR('Master Data'!A160&amp;" - "&amp;'Master Data'!B160,"")</f>
        <v/>
      </c>
    </row>
    <row r="163">
      <c r="H163" s="88">
        <f>IFERROR('Master Data'!A161&amp;" - "&amp;'Master Data'!B161,"")</f>
        <v/>
      </c>
    </row>
    <row r="164">
      <c r="H164" s="88">
        <f>IFERROR('Master Data'!A162&amp;" - "&amp;'Master Data'!B162,"")</f>
        <v/>
      </c>
    </row>
    <row r="165">
      <c r="H165" s="88">
        <f>IFERROR('Master Data'!A163&amp;" - "&amp;'Master Data'!B163,"")</f>
        <v/>
      </c>
    </row>
    <row r="166">
      <c r="H166" s="88">
        <f>IFERROR('Master Data'!A164&amp;" - "&amp;'Master Data'!B164,"")</f>
        <v/>
      </c>
    </row>
    <row r="167">
      <c r="H167" s="88">
        <f>IFERROR('Master Data'!A165&amp;" - "&amp;'Master Data'!B165,"")</f>
        <v/>
      </c>
    </row>
    <row r="168">
      <c r="H168" s="88">
        <f>IFERROR('Master Data'!A166&amp;" - "&amp;'Master Data'!B166,"")</f>
        <v/>
      </c>
    </row>
    <row r="169">
      <c r="H169" s="88">
        <f>IFERROR('Master Data'!A167&amp;" - "&amp;'Master Data'!B167,"")</f>
        <v/>
      </c>
    </row>
    <row r="170">
      <c r="H170" s="88">
        <f>IFERROR('Master Data'!A168&amp;" - "&amp;'Master Data'!B168,"")</f>
        <v/>
      </c>
    </row>
    <row r="171">
      <c r="H171" s="88">
        <f>IFERROR('Master Data'!A169&amp;" - "&amp;'Master Data'!B169,"")</f>
        <v/>
      </c>
    </row>
    <row r="172">
      <c r="H172" s="88">
        <f>IFERROR('Master Data'!A170&amp;" - "&amp;'Master Data'!B170,"")</f>
        <v/>
      </c>
    </row>
    <row r="173">
      <c r="H173" s="88">
        <f>IFERROR('Master Data'!A171&amp;" - "&amp;'Master Data'!B171,"")</f>
        <v/>
      </c>
    </row>
    <row r="174">
      <c r="H174" s="88">
        <f>IFERROR('Master Data'!A172&amp;" - "&amp;'Master Data'!B172,"")</f>
        <v/>
      </c>
    </row>
    <row r="175">
      <c r="H175" s="88">
        <f>IFERROR('Master Data'!A173&amp;" - "&amp;'Master Data'!B173,"")</f>
        <v/>
      </c>
    </row>
    <row r="176">
      <c r="H176" s="88">
        <f>IFERROR('Master Data'!A174&amp;" - "&amp;'Master Data'!B174,"")</f>
        <v/>
      </c>
    </row>
    <row r="177">
      <c r="H177" s="88">
        <f>IFERROR('Master Data'!A175&amp;" - "&amp;'Master Data'!B175,"")</f>
        <v/>
      </c>
    </row>
    <row r="178">
      <c r="H178" s="88">
        <f>IFERROR('Master Data'!A176&amp;" - "&amp;'Master Data'!B176,"")</f>
        <v/>
      </c>
    </row>
    <row r="179">
      <c r="H179" s="88">
        <f>IFERROR('Master Data'!A177&amp;" - "&amp;'Master Data'!B177,"")</f>
        <v/>
      </c>
    </row>
    <row r="180">
      <c r="H180" s="88">
        <f>IFERROR('Master Data'!A178&amp;" - "&amp;'Master Data'!B178,"")</f>
        <v/>
      </c>
    </row>
    <row r="181">
      <c r="H181" s="88">
        <f>IFERROR('Master Data'!A179&amp;" - "&amp;'Master Data'!B179,"")</f>
        <v/>
      </c>
    </row>
    <row r="182">
      <c r="H182" s="88">
        <f>IFERROR('Master Data'!A180&amp;" - "&amp;'Master Data'!B180,"")</f>
        <v/>
      </c>
    </row>
    <row r="183">
      <c r="H183" s="88">
        <f>IFERROR('Master Data'!A181&amp;" - "&amp;'Master Data'!B181,"")</f>
        <v/>
      </c>
    </row>
    <row r="184">
      <c r="H184" s="88">
        <f>IFERROR('Master Data'!A182&amp;" - "&amp;'Master Data'!B182,"")</f>
        <v/>
      </c>
    </row>
    <row r="185">
      <c r="H185" s="88">
        <f>IFERROR('Master Data'!A183&amp;" - "&amp;'Master Data'!B183,"")</f>
        <v/>
      </c>
    </row>
    <row r="186">
      <c r="H186" s="88">
        <f>IFERROR('Master Data'!A184&amp;" - "&amp;'Master Data'!B184,"")</f>
        <v/>
      </c>
    </row>
    <row r="187">
      <c r="H187" s="88">
        <f>IFERROR('Master Data'!A185&amp;" - "&amp;'Master Data'!B185,"")</f>
        <v/>
      </c>
    </row>
    <row r="188">
      <c r="H188" s="88">
        <f>IFERROR('Master Data'!A186&amp;" - "&amp;'Master Data'!B186,"")</f>
        <v/>
      </c>
    </row>
    <row r="189">
      <c r="H189" s="88">
        <f>IFERROR('Master Data'!A187&amp;" - "&amp;'Master Data'!B187,"")</f>
        <v/>
      </c>
    </row>
    <row r="190">
      <c r="H190" s="88">
        <f>IFERROR('Master Data'!A188&amp;" - "&amp;'Master Data'!B188,"")</f>
        <v/>
      </c>
    </row>
    <row r="191">
      <c r="H191" s="88">
        <f>IFERROR('Master Data'!A189&amp;" - "&amp;'Master Data'!B189,"")</f>
        <v/>
      </c>
    </row>
    <row r="192">
      <c r="H192" s="88">
        <f>IFERROR('Master Data'!A190&amp;" - "&amp;'Master Data'!B190,"")</f>
        <v/>
      </c>
    </row>
    <row r="193">
      <c r="H193" s="88">
        <f>IFERROR('Master Data'!A191&amp;" - "&amp;'Master Data'!B191,"")</f>
        <v/>
      </c>
    </row>
    <row r="194">
      <c r="H194" s="88">
        <f>IFERROR('Master Data'!A192&amp;" - "&amp;'Master Data'!B192,"")</f>
        <v/>
      </c>
    </row>
    <row r="195">
      <c r="H195" s="88">
        <f>IFERROR('Master Data'!A193&amp;" - "&amp;'Master Data'!B193,"")</f>
        <v/>
      </c>
    </row>
    <row r="196">
      <c r="H196" s="88">
        <f>IFERROR('Master Data'!A194&amp;" - "&amp;'Master Data'!B194,"")</f>
        <v/>
      </c>
    </row>
    <row r="197">
      <c r="H197" s="88">
        <f>IFERROR('Master Data'!A195&amp;" - "&amp;'Master Data'!B195,"")</f>
        <v/>
      </c>
    </row>
    <row r="198">
      <c r="H198" s="88">
        <f>IFERROR('Master Data'!A196&amp;" - "&amp;'Master Data'!B196,"")</f>
        <v/>
      </c>
    </row>
    <row r="199">
      <c r="H199" s="88">
        <f>IFERROR('Master Data'!A197&amp;" - "&amp;'Master Data'!B197,"")</f>
        <v/>
      </c>
    </row>
    <row r="200">
      <c r="H200" s="88">
        <f>IFERROR('Master Data'!A198&amp;" - "&amp;'Master Data'!B198,"")</f>
        <v/>
      </c>
    </row>
    <row r="201">
      <c r="H201" s="88">
        <f>IFERROR('Master Data'!A199&amp;" - "&amp;'Master Data'!B199,"")</f>
        <v/>
      </c>
    </row>
    <row r="202">
      <c r="H202" s="88">
        <f>IFERROR('Master Data'!A200&amp;" - "&amp;'Master Data'!B200,"")</f>
        <v/>
      </c>
    </row>
    <row r="203">
      <c r="H203" s="88">
        <f>IFERROR('Master Data'!A201&amp;" - "&amp;'Master Data'!B201,"")</f>
        <v/>
      </c>
    </row>
    <row r="204">
      <c r="H204" s="88">
        <f>IFERROR('Master Data'!A202&amp;" - "&amp;'Master Data'!B202,"")</f>
        <v/>
      </c>
    </row>
    <row r="205">
      <c r="H205" s="88">
        <f>IFERROR('Master Data'!A203&amp;" - "&amp;'Master Data'!B203,"")</f>
        <v/>
      </c>
    </row>
    <row r="206">
      <c r="H206" s="88">
        <f>IFERROR('Master Data'!A204&amp;" - "&amp;'Master Data'!B204,"")</f>
        <v/>
      </c>
    </row>
    <row r="207">
      <c r="H207" s="88">
        <f>IFERROR('Master Data'!A205&amp;" - "&amp;'Master Data'!B205,"")</f>
        <v/>
      </c>
    </row>
    <row r="208">
      <c r="H208" s="88">
        <f>IFERROR('Master Data'!A206&amp;" - "&amp;'Master Data'!B206,"")</f>
        <v/>
      </c>
    </row>
    <row r="209">
      <c r="H209" s="88">
        <f>IFERROR('Master Data'!A207&amp;" - "&amp;'Master Data'!B207,"")</f>
        <v/>
      </c>
    </row>
    <row r="210">
      <c r="H210" s="88">
        <f>IFERROR('Master Data'!A208&amp;" - "&amp;'Master Data'!B208,"")</f>
        <v/>
      </c>
    </row>
    <row r="211">
      <c r="H211" s="88">
        <f>IFERROR('Master Data'!A209&amp;" - "&amp;'Master Data'!B209,"")</f>
        <v/>
      </c>
    </row>
    <row r="212">
      <c r="H212" s="88">
        <f>IFERROR('Master Data'!A210&amp;" - "&amp;'Master Data'!B210,"")</f>
        <v/>
      </c>
    </row>
    <row r="213">
      <c r="H213" s="88">
        <f>IFERROR('Master Data'!A211&amp;" - "&amp;'Master Data'!B211,"")</f>
        <v/>
      </c>
    </row>
    <row r="214">
      <c r="H214" s="88">
        <f>IFERROR('Master Data'!A212&amp;" - "&amp;'Master Data'!B212,"")</f>
        <v/>
      </c>
    </row>
    <row r="215">
      <c r="H215" s="88">
        <f>IFERROR('Master Data'!A213&amp;" - "&amp;'Master Data'!B213,"")</f>
        <v/>
      </c>
    </row>
    <row r="216">
      <c r="H216" s="88">
        <f>IFERROR('Master Data'!A214&amp;" - "&amp;'Master Data'!B214,"")</f>
        <v/>
      </c>
    </row>
    <row r="217">
      <c r="H217" s="88">
        <f>IFERROR('Master Data'!A215&amp;" - "&amp;'Master Data'!B215,"")</f>
        <v/>
      </c>
    </row>
    <row r="218">
      <c r="H218" s="88">
        <f>IFERROR('Master Data'!A216&amp;" - "&amp;'Master Data'!B216,"")</f>
        <v/>
      </c>
    </row>
    <row r="219">
      <c r="H219" s="88">
        <f>IFERROR('Master Data'!A217&amp;" - "&amp;'Master Data'!B217,"")</f>
        <v/>
      </c>
    </row>
    <row r="220">
      <c r="H220" s="88">
        <f>IFERROR('Master Data'!A218&amp;" - "&amp;'Master Data'!B218,"")</f>
        <v/>
      </c>
    </row>
    <row r="221">
      <c r="H221" s="88">
        <f>IFERROR('Master Data'!A219&amp;" - "&amp;'Master Data'!B219,"")</f>
        <v/>
      </c>
    </row>
    <row r="222">
      <c r="H222" s="88">
        <f>IFERROR('Master Data'!A220&amp;" - "&amp;'Master Data'!B220,"")</f>
        <v/>
      </c>
    </row>
    <row r="223">
      <c r="H223" s="88">
        <f>IFERROR('Master Data'!A221&amp;" - "&amp;'Master Data'!B221,"")</f>
        <v/>
      </c>
    </row>
    <row r="224">
      <c r="H224" s="88">
        <f>IFERROR('Master Data'!A222&amp;" - "&amp;'Master Data'!B222,"")</f>
        <v/>
      </c>
    </row>
    <row r="225">
      <c r="H225" s="88">
        <f>IFERROR('Master Data'!A223&amp;" - "&amp;'Master Data'!B223,"")</f>
        <v/>
      </c>
    </row>
    <row r="226">
      <c r="H226" s="88">
        <f>IFERROR('Master Data'!A224&amp;" - "&amp;'Master Data'!B224,"")</f>
        <v/>
      </c>
    </row>
    <row r="227">
      <c r="H227" s="88">
        <f>IFERROR('Master Data'!A225&amp;" - "&amp;'Master Data'!B225,"")</f>
        <v/>
      </c>
    </row>
    <row r="228">
      <c r="H228" s="88">
        <f>IFERROR('Master Data'!A226&amp;" - "&amp;'Master Data'!B226,"")</f>
        <v/>
      </c>
    </row>
    <row r="229">
      <c r="H229" s="88">
        <f>IFERROR('Master Data'!A227&amp;" - "&amp;'Master Data'!B227,"")</f>
        <v/>
      </c>
    </row>
    <row r="230">
      <c r="H230" s="88">
        <f>IFERROR('Master Data'!A228&amp;" - "&amp;'Master Data'!B228,"")</f>
        <v/>
      </c>
    </row>
    <row r="231">
      <c r="H231" s="88">
        <f>IFERROR('Master Data'!A229&amp;" - "&amp;'Master Data'!B229,"")</f>
        <v/>
      </c>
    </row>
    <row r="232">
      <c r="H232" s="88">
        <f>IFERROR('Master Data'!A230&amp;" - "&amp;'Master Data'!B230,"")</f>
        <v/>
      </c>
    </row>
    <row r="233">
      <c r="H233" s="88">
        <f>IFERROR('Master Data'!A231&amp;" - "&amp;'Master Data'!B231,"")</f>
        <v/>
      </c>
    </row>
    <row r="234">
      <c r="H234" s="88">
        <f>IFERROR('Master Data'!A232&amp;" - "&amp;'Master Data'!B232,"")</f>
        <v/>
      </c>
    </row>
    <row r="235">
      <c r="H235" s="88">
        <f>IFERROR('Master Data'!A233&amp;" - "&amp;'Master Data'!B233,"")</f>
        <v/>
      </c>
    </row>
    <row r="236">
      <c r="H236" s="88">
        <f>IFERROR('Master Data'!A234&amp;" - "&amp;'Master Data'!B234,"")</f>
        <v/>
      </c>
    </row>
    <row r="237">
      <c r="H237" s="88">
        <f>IFERROR('Master Data'!A235&amp;" - "&amp;'Master Data'!B235,"")</f>
        <v/>
      </c>
    </row>
    <row r="238">
      <c r="H238" s="88">
        <f>IFERROR('Master Data'!A236&amp;" - "&amp;'Master Data'!B236,"")</f>
        <v/>
      </c>
    </row>
    <row r="239">
      <c r="H239" s="88">
        <f>IFERROR('Master Data'!A237&amp;" - "&amp;'Master Data'!B237,"")</f>
        <v/>
      </c>
    </row>
    <row r="240">
      <c r="H240" s="88">
        <f>IFERROR('Master Data'!A238&amp;" - "&amp;'Master Data'!B238,"")</f>
        <v/>
      </c>
    </row>
    <row r="241">
      <c r="H241" s="88">
        <f>IFERROR('Master Data'!A239&amp;" - "&amp;'Master Data'!B239,"")</f>
        <v/>
      </c>
    </row>
    <row r="242">
      <c r="H242" s="88">
        <f>IFERROR('Master Data'!A240&amp;" - "&amp;'Master Data'!B240,"")</f>
        <v/>
      </c>
    </row>
    <row r="243">
      <c r="H243" s="88">
        <f>IFERROR('Master Data'!A241&amp;" - "&amp;'Master Data'!B241,"")</f>
        <v/>
      </c>
    </row>
    <row r="244">
      <c r="H244" s="88">
        <f>IFERROR('Master Data'!A242&amp;" - "&amp;'Master Data'!B242,"")</f>
        <v/>
      </c>
    </row>
    <row r="245">
      <c r="H245" s="88">
        <f>IFERROR('Master Data'!A243&amp;" - "&amp;'Master Data'!B243,"")</f>
        <v/>
      </c>
    </row>
    <row r="246">
      <c r="H246" s="88">
        <f>IFERROR('Master Data'!A244&amp;" - "&amp;'Master Data'!B244,"")</f>
        <v/>
      </c>
    </row>
    <row r="247">
      <c r="H247" s="88">
        <f>IFERROR('Master Data'!A245&amp;" - "&amp;'Master Data'!B245,"")</f>
        <v/>
      </c>
    </row>
    <row r="248">
      <c r="H248" s="88">
        <f>IFERROR('Master Data'!A246&amp;" - "&amp;'Master Data'!B246,"")</f>
        <v/>
      </c>
    </row>
    <row r="249">
      <c r="H249" s="88">
        <f>IFERROR('Master Data'!A247&amp;" - "&amp;'Master Data'!B247,"")</f>
        <v/>
      </c>
    </row>
    <row r="250">
      <c r="H250" s="88">
        <f>IFERROR('Master Data'!A248&amp;" - "&amp;'Master Data'!B248,"")</f>
        <v/>
      </c>
    </row>
    <row r="251">
      <c r="H251" s="88">
        <f>IFERROR('Master Data'!A249&amp;" - "&amp;'Master Data'!B249,"")</f>
        <v/>
      </c>
    </row>
    <row r="252">
      <c r="H252" s="88">
        <f>IFERROR('Master Data'!A250&amp;" - "&amp;'Master Data'!B250,"")</f>
        <v/>
      </c>
    </row>
    <row r="253">
      <c r="H253" s="88">
        <f>IFERROR('Master Data'!A251&amp;" - "&amp;'Master Data'!B251,"")</f>
        <v/>
      </c>
    </row>
    <row r="254">
      <c r="H254" s="88">
        <f>IFERROR('Master Data'!A252&amp;" - "&amp;'Master Data'!B252,"")</f>
        <v/>
      </c>
    </row>
    <row r="255">
      <c r="H255" s="88">
        <f>IFERROR('Master Data'!A253&amp;" - "&amp;'Master Data'!B253,"")</f>
        <v/>
      </c>
    </row>
    <row r="256">
      <c r="H256" s="88">
        <f>IFERROR('Master Data'!A254&amp;" - "&amp;'Master Data'!B254,"")</f>
        <v/>
      </c>
    </row>
    <row r="257">
      <c r="H257" s="88">
        <f>IFERROR('Master Data'!A255&amp;" - "&amp;'Master Data'!B255,"")</f>
        <v/>
      </c>
    </row>
    <row r="258">
      <c r="H258" s="88">
        <f>IFERROR('Master Data'!A256&amp;" - "&amp;'Master Data'!B256,"")</f>
        <v/>
      </c>
    </row>
    <row r="259">
      <c r="H259" s="88">
        <f>IFERROR('Master Data'!A257&amp;" - "&amp;'Master Data'!B257,"")</f>
        <v/>
      </c>
    </row>
    <row r="260">
      <c r="H260" s="88">
        <f>IFERROR('Master Data'!A258&amp;" - "&amp;'Master Data'!B258,"")</f>
        <v/>
      </c>
    </row>
    <row r="261">
      <c r="H261" s="88">
        <f>IFERROR('Master Data'!A259&amp;" - "&amp;'Master Data'!B259,"")</f>
        <v/>
      </c>
    </row>
    <row r="262">
      <c r="H262" s="88">
        <f>IFERROR('Master Data'!A260&amp;" - "&amp;'Master Data'!B260,"")</f>
        <v/>
      </c>
    </row>
    <row r="263">
      <c r="H263" s="88">
        <f>IFERROR('Master Data'!A261&amp;" - "&amp;'Master Data'!B261,"")</f>
        <v/>
      </c>
    </row>
    <row r="264">
      <c r="H264" s="88">
        <f>IFERROR('Master Data'!A262&amp;" - "&amp;'Master Data'!B262,"")</f>
        <v/>
      </c>
    </row>
    <row r="265">
      <c r="H265" s="88">
        <f>IFERROR('Master Data'!A263&amp;" - "&amp;'Master Data'!B263,"")</f>
        <v/>
      </c>
    </row>
    <row r="266">
      <c r="H266" s="88">
        <f>IFERROR('Master Data'!A264&amp;" - "&amp;'Master Data'!B264,"")</f>
        <v/>
      </c>
    </row>
    <row r="267">
      <c r="H267" s="88">
        <f>IFERROR('Master Data'!A265&amp;" - "&amp;'Master Data'!B265,"")</f>
        <v/>
      </c>
    </row>
    <row r="268">
      <c r="H268" s="88">
        <f>IFERROR('Master Data'!A266&amp;" - "&amp;'Master Data'!B266,"")</f>
        <v/>
      </c>
    </row>
    <row r="269">
      <c r="H269" s="88">
        <f>IFERROR('Master Data'!A267&amp;" - "&amp;'Master Data'!B267,"")</f>
        <v/>
      </c>
    </row>
    <row r="270">
      <c r="H270" s="88">
        <f>IFERROR('Master Data'!A268&amp;" - "&amp;'Master Data'!B268,"")</f>
        <v/>
      </c>
    </row>
    <row r="271">
      <c r="H271" s="88">
        <f>IFERROR('Master Data'!A269&amp;" - "&amp;'Master Data'!B269,"")</f>
        <v/>
      </c>
    </row>
    <row r="272">
      <c r="H272" s="88">
        <f>IFERROR('Master Data'!A270&amp;" - "&amp;'Master Data'!B270,"")</f>
        <v/>
      </c>
    </row>
    <row r="273">
      <c r="H273" s="88">
        <f>IFERROR('Master Data'!A271&amp;" - "&amp;'Master Data'!B271,"")</f>
        <v/>
      </c>
    </row>
    <row r="274">
      <c r="H274" s="88">
        <f>IFERROR('Master Data'!A272&amp;" - "&amp;'Master Data'!B272,"")</f>
        <v/>
      </c>
    </row>
    <row r="275">
      <c r="H275" s="88">
        <f>IFERROR('Master Data'!A273&amp;" - "&amp;'Master Data'!B273,"")</f>
        <v/>
      </c>
    </row>
    <row r="276">
      <c r="H276" s="88">
        <f>IFERROR('Master Data'!A274&amp;" - "&amp;'Master Data'!B274,"")</f>
        <v/>
      </c>
    </row>
    <row r="277">
      <c r="H277" s="88">
        <f>IFERROR('Master Data'!A275&amp;" - "&amp;'Master Data'!B275,"")</f>
        <v/>
      </c>
    </row>
    <row r="278">
      <c r="H278" s="88">
        <f>IFERROR('Master Data'!A276&amp;" - "&amp;'Master Data'!B276,"")</f>
        <v/>
      </c>
    </row>
    <row r="279">
      <c r="H279" s="88">
        <f>IFERROR('Master Data'!A277&amp;" - "&amp;'Master Data'!B277,"")</f>
        <v/>
      </c>
    </row>
    <row r="280">
      <c r="H280" s="88">
        <f>IFERROR('Master Data'!A278&amp;" - "&amp;'Master Data'!B278,"")</f>
        <v/>
      </c>
    </row>
    <row r="281">
      <c r="H281" s="88">
        <f>IFERROR('Master Data'!A279&amp;" - "&amp;'Master Data'!B279,"")</f>
        <v/>
      </c>
    </row>
    <row r="282">
      <c r="H282" s="88">
        <f>IFERROR('Master Data'!A280&amp;" - "&amp;'Master Data'!B280,"")</f>
        <v/>
      </c>
    </row>
    <row r="283">
      <c r="H283" s="88">
        <f>IFERROR('Master Data'!A281&amp;" - "&amp;'Master Data'!B281,"")</f>
        <v/>
      </c>
    </row>
    <row r="284">
      <c r="H284" s="88">
        <f>IFERROR('Master Data'!A282&amp;" - "&amp;'Master Data'!B282,"")</f>
        <v/>
      </c>
    </row>
    <row r="285">
      <c r="H285" s="88">
        <f>IFERROR('Master Data'!A283&amp;" - "&amp;'Master Data'!B283,"")</f>
        <v/>
      </c>
    </row>
    <row r="286">
      <c r="H286" s="88">
        <f>IFERROR('Master Data'!A284&amp;" - "&amp;'Master Data'!B284,"")</f>
        <v/>
      </c>
    </row>
    <row r="287">
      <c r="H287" s="88">
        <f>IFERROR('Master Data'!A285&amp;" - "&amp;'Master Data'!B285,"")</f>
        <v/>
      </c>
    </row>
    <row r="288">
      <c r="H288" s="88">
        <f>IFERROR('Master Data'!A286&amp;" - "&amp;'Master Data'!B286,"")</f>
        <v/>
      </c>
    </row>
    <row r="289">
      <c r="H289" s="88">
        <f>IFERROR('Master Data'!A287&amp;" - "&amp;'Master Data'!B287,"")</f>
        <v/>
      </c>
    </row>
    <row r="290">
      <c r="H290" s="88">
        <f>IFERROR('Master Data'!A288&amp;" - "&amp;'Master Data'!B288,"")</f>
        <v/>
      </c>
    </row>
    <row r="291">
      <c r="H291" s="88">
        <f>IFERROR('Master Data'!A289&amp;" - "&amp;'Master Data'!B289,"")</f>
        <v/>
      </c>
    </row>
    <row r="292">
      <c r="H292" s="88">
        <f>IFERROR('Master Data'!A290&amp;" - "&amp;'Master Data'!B290,"")</f>
        <v/>
      </c>
    </row>
    <row r="293">
      <c r="H293" s="88">
        <f>IFERROR('Master Data'!A291&amp;" - "&amp;'Master Data'!B291,"")</f>
        <v/>
      </c>
    </row>
    <row r="294">
      <c r="H294" s="88">
        <f>IFERROR('Master Data'!A292&amp;" - "&amp;'Master Data'!B292,"")</f>
        <v/>
      </c>
    </row>
    <row r="295">
      <c r="H295" s="88">
        <f>IFERROR('Master Data'!A293&amp;" - "&amp;'Master Data'!B293,"")</f>
        <v/>
      </c>
    </row>
    <row r="296">
      <c r="H296" s="88">
        <f>IFERROR('Master Data'!A294&amp;" - "&amp;'Master Data'!B294,"")</f>
        <v/>
      </c>
    </row>
    <row r="297">
      <c r="H297" s="88">
        <f>IFERROR('Master Data'!A295&amp;" - "&amp;'Master Data'!B295,"")</f>
        <v/>
      </c>
    </row>
    <row r="298">
      <c r="H298" s="88">
        <f>IFERROR('Master Data'!A296&amp;" - "&amp;'Master Data'!B296,"")</f>
        <v/>
      </c>
    </row>
    <row r="299">
      <c r="H299" s="88">
        <f>IFERROR('Master Data'!A297&amp;" - "&amp;'Master Data'!B297,"")</f>
        <v/>
      </c>
    </row>
    <row r="300">
      <c r="H300" s="88">
        <f>IFERROR('Master Data'!A298&amp;" - "&amp;'Master Data'!B298,"")</f>
        <v/>
      </c>
    </row>
    <row r="301">
      <c r="H301" s="88">
        <f>IFERROR('Master Data'!A299&amp;" - "&amp;'Master Data'!B299,"")</f>
        <v/>
      </c>
    </row>
    <row r="302">
      <c r="H302" s="88">
        <f>IFERROR('Master Data'!A300&amp;" - "&amp;'Master Data'!B300,"")</f>
        <v/>
      </c>
    </row>
    <row r="303">
      <c r="H303" s="88">
        <f>IFERROR('Master Data'!A301&amp;" - "&amp;'Master Data'!B301,"")</f>
        <v/>
      </c>
    </row>
    <row r="304">
      <c r="H304" s="88">
        <f>IFERROR('Master Data'!A302&amp;" - "&amp;'Master Data'!B302,"")</f>
        <v/>
      </c>
    </row>
    <row r="305">
      <c r="H305" s="88">
        <f>IFERROR('Master Data'!A303&amp;" - "&amp;'Master Data'!B303,"")</f>
        <v/>
      </c>
    </row>
    <row r="306">
      <c r="H306" s="88">
        <f>IFERROR('Master Data'!A304&amp;" - "&amp;'Master Data'!B304,"")</f>
        <v/>
      </c>
    </row>
    <row r="307">
      <c r="H307" s="88">
        <f>IFERROR('Master Data'!A305&amp;" - "&amp;'Master Data'!B305,"")</f>
        <v/>
      </c>
    </row>
    <row r="308">
      <c r="H308" s="88">
        <f>IFERROR('Master Data'!A306&amp;" - "&amp;'Master Data'!B306,"")</f>
        <v/>
      </c>
    </row>
    <row r="309">
      <c r="H309" s="88">
        <f>IFERROR('Master Data'!A307&amp;" - "&amp;'Master Data'!B307,"")</f>
        <v/>
      </c>
    </row>
    <row r="310">
      <c r="H310" s="88">
        <f>IFERROR('Master Data'!A308&amp;" - "&amp;'Master Data'!B308,"")</f>
        <v/>
      </c>
    </row>
    <row r="311">
      <c r="H311" s="88">
        <f>IFERROR('Master Data'!A309&amp;" - "&amp;'Master Data'!B309,"")</f>
        <v/>
      </c>
    </row>
    <row r="312">
      <c r="H312" s="88">
        <f>IFERROR('Master Data'!A310&amp;" - "&amp;'Master Data'!B310,"")</f>
        <v/>
      </c>
    </row>
    <row r="313">
      <c r="H313" s="88">
        <f>IFERROR('Master Data'!A311&amp;" - "&amp;'Master Data'!B311,"")</f>
        <v/>
      </c>
    </row>
    <row r="314">
      <c r="H314" s="88">
        <f>IFERROR('Master Data'!A312&amp;" - "&amp;'Master Data'!B312,"")</f>
        <v/>
      </c>
    </row>
    <row r="315">
      <c r="H315" s="88">
        <f>IFERROR('Master Data'!A313&amp;" - "&amp;'Master Data'!B313,"")</f>
        <v/>
      </c>
    </row>
    <row r="316">
      <c r="H316" s="88">
        <f>IFERROR('Master Data'!A314&amp;" - "&amp;'Master Data'!B314,"")</f>
        <v/>
      </c>
    </row>
    <row r="317">
      <c r="H317" s="88">
        <f>IFERROR('Master Data'!A315&amp;" - "&amp;'Master Data'!B315,"")</f>
        <v/>
      </c>
    </row>
    <row r="318">
      <c r="H318" s="88">
        <f>IFERROR('Master Data'!A316&amp;" - "&amp;'Master Data'!B316,"")</f>
        <v/>
      </c>
    </row>
    <row r="319">
      <c r="H319" s="88">
        <f>IFERROR('Master Data'!A317&amp;" - "&amp;'Master Data'!B317,"")</f>
        <v/>
      </c>
    </row>
    <row r="320">
      <c r="H320" s="88">
        <f>IFERROR('Master Data'!A318&amp;" - "&amp;'Master Data'!B318,"")</f>
        <v/>
      </c>
    </row>
    <row r="321">
      <c r="H321" s="88">
        <f>IFERROR('Master Data'!A319&amp;" - "&amp;'Master Data'!B319,"")</f>
        <v/>
      </c>
    </row>
    <row r="322">
      <c r="H322" s="88">
        <f>IFERROR('Master Data'!A320&amp;" - "&amp;'Master Data'!B320,"")</f>
        <v/>
      </c>
    </row>
    <row r="323">
      <c r="H323" s="88">
        <f>IFERROR('Master Data'!A321&amp;" - "&amp;'Master Data'!B321,"")</f>
        <v/>
      </c>
    </row>
    <row r="324">
      <c r="H324" s="88">
        <f>IFERROR('Master Data'!A322&amp;" - "&amp;'Master Data'!B322,"")</f>
        <v/>
      </c>
    </row>
    <row r="325">
      <c r="H325" s="88">
        <f>IFERROR('Master Data'!A323&amp;" - "&amp;'Master Data'!B323,"")</f>
        <v/>
      </c>
    </row>
    <row r="326">
      <c r="H326" s="88">
        <f>IFERROR('Master Data'!A324&amp;" - "&amp;'Master Data'!B324,"")</f>
        <v/>
      </c>
    </row>
    <row r="327">
      <c r="H327" s="88">
        <f>IFERROR('Master Data'!A325&amp;" - "&amp;'Master Data'!B325,"")</f>
        <v/>
      </c>
    </row>
    <row r="328">
      <c r="H328" s="88">
        <f>IFERROR('Master Data'!A326&amp;" - "&amp;'Master Data'!B326,"")</f>
        <v/>
      </c>
    </row>
    <row r="329">
      <c r="H329" s="88">
        <f>IFERROR('Master Data'!A327&amp;" - "&amp;'Master Data'!B327,"")</f>
        <v/>
      </c>
    </row>
    <row r="330">
      <c r="H330" s="88">
        <f>IFERROR('Master Data'!A328&amp;" - "&amp;'Master Data'!B328,"")</f>
        <v/>
      </c>
    </row>
    <row r="331">
      <c r="H331" s="88">
        <f>IFERROR('Master Data'!A329&amp;" - "&amp;'Master Data'!B329,"")</f>
        <v/>
      </c>
    </row>
    <row r="332">
      <c r="H332" s="88">
        <f>IFERROR('Master Data'!A330&amp;" - "&amp;'Master Data'!B330,"")</f>
        <v/>
      </c>
    </row>
    <row r="333">
      <c r="H333" s="88">
        <f>IFERROR('Master Data'!A331&amp;" - "&amp;'Master Data'!B331,"")</f>
        <v/>
      </c>
    </row>
    <row r="334">
      <c r="H334" s="88">
        <f>IFERROR('Master Data'!A332&amp;" - "&amp;'Master Data'!B332,"")</f>
        <v/>
      </c>
    </row>
    <row r="335">
      <c r="H335" s="88">
        <f>IFERROR('Master Data'!A333&amp;" - "&amp;'Master Data'!B333,"")</f>
        <v/>
      </c>
    </row>
    <row r="336">
      <c r="H336" s="88">
        <f>IFERROR('Master Data'!A334&amp;" - "&amp;'Master Data'!B334,"")</f>
        <v/>
      </c>
    </row>
    <row r="337">
      <c r="H337" s="88">
        <f>IFERROR('Master Data'!A335&amp;" - "&amp;'Master Data'!B335,"")</f>
        <v/>
      </c>
    </row>
    <row r="338">
      <c r="H338" s="88">
        <f>IFERROR('Master Data'!A336&amp;" - "&amp;'Master Data'!B336,"")</f>
        <v/>
      </c>
    </row>
    <row r="339">
      <c r="H339" s="88">
        <f>IFERROR('Master Data'!A337&amp;" - "&amp;'Master Data'!B337,"")</f>
        <v/>
      </c>
    </row>
    <row r="340">
      <c r="H340" s="88">
        <f>IFERROR('Master Data'!A338&amp;" - "&amp;'Master Data'!B338,"")</f>
        <v/>
      </c>
    </row>
    <row r="341">
      <c r="H341" s="88">
        <f>IFERROR('Master Data'!A339&amp;" - "&amp;'Master Data'!B339,"")</f>
        <v/>
      </c>
    </row>
    <row r="342">
      <c r="H342" s="88">
        <f>IFERROR('Master Data'!A340&amp;" - "&amp;'Master Data'!B340,"")</f>
        <v/>
      </c>
    </row>
    <row r="343">
      <c r="H343" s="88">
        <f>IFERROR('Master Data'!A341&amp;" - "&amp;'Master Data'!B341,"")</f>
        <v/>
      </c>
    </row>
    <row r="344">
      <c r="H344" s="88">
        <f>IFERROR('Master Data'!A342&amp;" - "&amp;'Master Data'!B342,"")</f>
        <v/>
      </c>
    </row>
    <row r="345">
      <c r="H345" s="88">
        <f>IFERROR('Master Data'!A343&amp;" - "&amp;'Master Data'!B343,"")</f>
        <v/>
      </c>
    </row>
    <row r="346">
      <c r="H346" s="88">
        <f>IFERROR('Master Data'!A344&amp;" - "&amp;'Master Data'!B344,"")</f>
        <v/>
      </c>
    </row>
    <row r="347">
      <c r="H347" s="88">
        <f>IFERROR('Master Data'!A345&amp;" - "&amp;'Master Data'!B345,"")</f>
        <v/>
      </c>
    </row>
    <row r="348">
      <c r="H348" s="88">
        <f>IFERROR('Master Data'!A346&amp;" - "&amp;'Master Data'!B346,"")</f>
        <v/>
      </c>
    </row>
    <row r="349">
      <c r="H349" s="88">
        <f>IFERROR('Master Data'!A347&amp;" - "&amp;'Master Data'!B347,"")</f>
        <v/>
      </c>
    </row>
    <row r="350">
      <c r="H350" s="88">
        <f>IFERROR('Master Data'!A348&amp;" - "&amp;'Master Data'!B348,"")</f>
        <v/>
      </c>
    </row>
    <row r="351">
      <c r="H351" s="88">
        <f>IFERROR('Master Data'!A349&amp;" - "&amp;'Master Data'!B349,"")</f>
        <v/>
      </c>
    </row>
    <row r="352">
      <c r="H352" s="88">
        <f>IFERROR('Master Data'!A350&amp;" - "&amp;'Master Data'!B350,"")</f>
        <v/>
      </c>
    </row>
    <row r="353">
      <c r="H353" s="88">
        <f>IFERROR('Master Data'!A351&amp;" - "&amp;'Master Data'!B351,"")</f>
        <v/>
      </c>
    </row>
    <row r="354">
      <c r="H354" s="88">
        <f>IFERROR('Master Data'!A352&amp;" - "&amp;'Master Data'!B352,"")</f>
        <v/>
      </c>
    </row>
    <row r="355">
      <c r="H355" s="88">
        <f>IFERROR('Master Data'!A353&amp;" - "&amp;'Master Data'!B353,"")</f>
        <v/>
      </c>
    </row>
    <row r="356">
      <c r="H356" s="88">
        <f>IFERROR('Master Data'!A354&amp;" - "&amp;'Master Data'!B354,"")</f>
        <v/>
      </c>
    </row>
    <row r="357">
      <c r="H357" s="88">
        <f>IFERROR('Master Data'!A355&amp;" - "&amp;'Master Data'!B355,"")</f>
        <v/>
      </c>
    </row>
    <row r="358">
      <c r="H358" s="88">
        <f>IFERROR('Master Data'!A356&amp;" - "&amp;'Master Data'!B356,"")</f>
        <v/>
      </c>
    </row>
    <row r="359">
      <c r="H359" s="88">
        <f>IFERROR('Master Data'!A357&amp;" - "&amp;'Master Data'!B357,"")</f>
        <v/>
      </c>
    </row>
    <row r="360">
      <c r="H360" s="88">
        <f>IFERROR('Master Data'!A358&amp;" - "&amp;'Master Data'!B358,"")</f>
        <v/>
      </c>
    </row>
    <row r="361">
      <c r="H361" s="88">
        <f>IFERROR('Master Data'!A359&amp;" - "&amp;'Master Data'!B359,"")</f>
        <v/>
      </c>
    </row>
    <row r="362">
      <c r="H362" s="88">
        <f>IFERROR('Master Data'!A360&amp;" - "&amp;'Master Data'!B360,"")</f>
        <v/>
      </c>
    </row>
    <row r="363">
      <c r="H363" s="88">
        <f>IFERROR('Master Data'!A361&amp;" - "&amp;'Master Data'!B361,"")</f>
        <v/>
      </c>
    </row>
    <row r="364">
      <c r="H364" s="88">
        <f>IFERROR('Master Data'!A362&amp;" - "&amp;'Master Data'!B362,"")</f>
        <v/>
      </c>
    </row>
    <row r="365">
      <c r="H365" s="88">
        <f>IFERROR('Master Data'!A363&amp;" - "&amp;'Master Data'!B363,"")</f>
        <v/>
      </c>
    </row>
    <row r="366">
      <c r="H366" s="88">
        <f>IFERROR('Master Data'!A364&amp;" - "&amp;'Master Data'!B364,"")</f>
        <v/>
      </c>
    </row>
    <row r="367">
      <c r="H367" s="88">
        <f>IFERROR('Master Data'!A365&amp;" - "&amp;'Master Data'!B365,"")</f>
        <v/>
      </c>
    </row>
    <row r="368">
      <c r="H368" s="88">
        <f>IFERROR('Master Data'!A366&amp;" - "&amp;'Master Data'!B366,"")</f>
        <v/>
      </c>
    </row>
    <row r="369">
      <c r="H369" s="88">
        <f>IFERROR('Master Data'!A367&amp;" - "&amp;'Master Data'!B367,"")</f>
        <v/>
      </c>
    </row>
    <row r="370">
      <c r="H370" s="88">
        <f>IFERROR('Master Data'!A368&amp;" - "&amp;'Master Data'!B368,"")</f>
        <v/>
      </c>
    </row>
    <row r="371">
      <c r="H371" s="88">
        <f>IFERROR('Master Data'!A369&amp;" - "&amp;'Master Data'!B369,"")</f>
        <v/>
      </c>
    </row>
    <row r="372">
      <c r="H372" s="88">
        <f>IFERROR('Master Data'!A370&amp;" - "&amp;'Master Data'!B370,"")</f>
        <v/>
      </c>
    </row>
    <row r="373">
      <c r="H373" s="88">
        <f>IFERROR('Master Data'!A371&amp;" - "&amp;'Master Data'!B371,"")</f>
        <v/>
      </c>
    </row>
    <row r="374">
      <c r="H374" s="88">
        <f>IFERROR('Master Data'!A372&amp;" - "&amp;'Master Data'!B372,"")</f>
        <v/>
      </c>
    </row>
    <row r="375">
      <c r="H375" s="88">
        <f>IFERROR('Master Data'!A373&amp;" - "&amp;'Master Data'!B373,"")</f>
        <v/>
      </c>
    </row>
    <row r="376">
      <c r="H376" s="88">
        <f>IFERROR('Master Data'!A374&amp;" - "&amp;'Master Data'!B374,"")</f>
        <v/>
      </c>
    </row>
    <row r="377">
      <c r="H377" s="88">
        <f>IFERROR('Master Data'!A375&amp;" - "&amp;'Master Data'!B375,"")</f>
        <v/>
      </c>
    </row>
    <row r="378">
      <c r="H378" s="88">
        <f>IFERROR('Master Data'!A376&amp;" - "&amp;'Master Data'!B376,"")</f>
        <v/>
      </c>
    </row>
    <row r="379">
      <c r="H379" s="88">
        <f>IFERROR('Master Data'!A377&amp;" - "&amp;'Master Data'!B377,"")</f>
        <v/>
      </c>
    </row>
    <row r="380">
      <c r="H380" s="88">
        <f>IFERROR('Master Data'!A378&amp;" - "&amp;'Master Data'!B378,"")</f>
        <v/>
      </c>
    </row>
    <row r="381">
      <c r="H381" s="88">
        <f>IFERROR('Master Data'!A379&amp;" - "&amp;'Master Data'!B379,"")</f>
        <v/>
      </c>
    </row>
    <row r="382">
      <c r="H382" s="88">
        <f>IFERROR('Master Data'!A380&amp;" - "&amp;'Master Data'!B380,"")</f>
        <v/>
      </c>
    </row>
    <row r="383">
      <c r="H383" s="88">
        <f>IFERROR('Master Data'!A381&amp;" - "&amp;'Master Data'!B381,"")</f>
        <v/>
      </c>
    </row>
    <row r="384">
      <c r="H384" s="88">
        <f>IFERROR('Master Data'!A382&amp;" - "&amp;'Master Data'!B382,"")</f>
        <v/>
      </c>
    </row>
    <row r="385">
      <c r="H385" s="88">
        <f>IFERROR('Master Data'!A383&amp;" - "&amp;'Master Data'!B383,"")</f>
        <v/>
      </c>
    </row>
    <row r="386">
      <c r="H386" s="88">
        <f>IFERROR('Master Data'!A384&amp;" - "&amp;'Master Data'!B384,"")</f>
        <v/>
      </c>
    </row>
    <row r="387">
      <c r="H387" s="88">
        <f>IFERROR('Master Data'!A385&amp;" - "&amp;'Master Data'!B385,"")</f>
        <v/>
      </c>
    </row>
    <row r="388">
      <c r="H388" s="88">
        <f>IFERROR('Master Data'!A386&amp;" - "&amp;'Master Data'!B386,"")</f>
        <v/>
      </c>
    </row>
    <row r="389">
      <c r="H389" s="88">
        <f>IFERROR('Master Data'!A387&amp;" - "&amp;'Master Data'!B387,"")</f>
        <v/>
      </c>
    </row>
    <row r="390">
      <c r="H390" s="88">
        <f>IFERROR('Master Data'!A388&amp;" - "&amp;'Master Data'!B388,"")</f>
        <v/>
      </c>
    </row>
    <row r="391">
      <c r="H391" s="88">
        <f>IFERROR('Master Data'!A389&amp;" - "&amp;'Master Data'!B389,"")</f>
        <v/>
      </c>
    </row>
    <row r="392">
      <c r="H392" s="88">
        <f>IFERROR('Master Data'!A390&amp;" - "&amp;'Master Data'!B390,"")</f>
        <v/>
      </c>
    </row>
    <row r="393">
      <c r="H393" s="88">
        <f>IFERROR('Master Data'!A391&amp;" - "&amp;'Master Data'!B391,"")</f>
        <v/>
      </c>
    </row>
    <row r="394">
      <c r="H394" s="88">
        <f>IFERROR('Master Data'!A392&amp;" - "&amp;'Master Data'!B392,"")</f>
        <v/>
      </c>
    </row>
    <row r="395">
      <c r="H395" s="88">
        <f>IFERROR('Master Data'!A393&amp;" - "&amp;'Master Data'!B393,"")</f>
        <v/>
      </c>
    </row>
    <row r="396">
      <c r="H396" s="88">
        <f>IFERROR('Master Data'!A394&amp;" - "&amp;'Master Data'!B394,"")</f>
        <v/>
      </c>
    </row>
    <row r="397">
      <c r="H397" s="88">
        <f>IFERROR('Master Data'!A395&amp;" - "&amp;'Master Data'!B395,"")</f>
        <v/>
      </c>
    </row>
    <row r="398">
      <c r="H398" s="88">
        <f>IFERROR('Master Data'!A396&amp;" - "&amp;'Master Data'!B396,"")</f>
        <v/>
      </c>
    </row>
    <row r="399">
      <c r="H399" s="88">
        <f>IFERROR('Master Data'!A397&amp;" - "&amp;'Master Data'!B397,"")</f>
        <v/>
      </c>
    </row>
    <row r="400">
      <c r="H400" s="88">
        <f>IFERROR('Master Data'!A398&amp;" - "&amp;'Master Data'!B398,"")</f>
        <v/>
      </c>
    </row>
    <row r="401">
      <c r="H401" s="88">
        <f>IFERROR('Master Data'!A399&amp;" - "&amp;'Master Data'!B399,"")</f>
        <v/>
      </c>
    </row>
    <row r="402">
      <c r="H402" s="88">
        <f>IFERROR('Master Data'!A400&amp;" - "&amp;'Master Data'!B400,"")</f>
        <v/>
      </c>
    </row>
    <row r="403">
      <c r="H403" s="88">
        <f>IFERROR('Master Data'!A401&amp;" - "&amp;'Master Data'!B401,"")</f>
        <v/>
      </c>
    </row>
    <row r="404">
      <c r="H404" s="88">
        <f>IFERROR('Master Data'!A402&amp;" - "&amp;'Master Data'!B402,"")</f>
        <v/>
      </c>
    </row>
    <row r="405">
      <c r="H405" s="88">
        <f>IFERROR('Master Data'!A403&amp;" - "&amp;'Master Data'!B403,"")</f>
        <v/>
      </c>
    </row>
    <row r="406">
      <c r="H406" s="88">
        <f>IFERROR('Master Data'!A404&amp;" - "&amp;'Master Data'!B404,"")</f>
        <v/>
      </c>
    </row>
    <row r="407">
      <c r="H407" s="88">
        <f>IFERROR('Master Data'!A405&amp;" - "&amp;'Master Data'!B405,"")</f>
        <v/>
      </c>
    </row>
    <row r="408">
      <c r="H408" s="88">
        <f>IFERROR('Master Data'!A406&amp;" - "&amp;'Master Data'!B406,"")</f>
        <v/>
      </c>
    </row>
    <row r="409">
      <c r="H409" s="88">
        <f>IFERROR('Master Data'!A407&amp;" - "&amp;'Master Data'!B407,"")</f>
        <v/>
      </c>
    </row>
    <row r="410">
      <c r="H410" s="88">
        <f>IFERROR('Master Data'!A408&amp;" - "&amp;'Master Data'!B408,"")</f>
        <v/>
      </c>
    </row>
    <row r="411">
      <c r="H411" s="88">
        <f>IFERROR('Master Data'!A409&amp;" - "&amp;'Master Data'!B409,"")</f>
        <v/>
      </c>
    </row>
    <row r="412">
      <c r="H412" s="88">
        <f>IFERROR('Master Data'!A410&amp;" - "&amp;'Master Data'!B410,"")</f>
        <v/>
      </c>
    </row>
    <row r="413">
      <c r="H413" s="88">
        <f>IFERROR('Master Data'!A411&amp;" - "&amp;'Master Data'!B411,"")</f>
        <v/>
      </c>
    </row>
    <row r="414">
      <c r="H414" s="88">
        <f>IFERROR('Master Data'!A412&amp;" - "&amp;'Master Data'!B412,"")</f>
        <v/>
      </c>
    </row>
    <row r="415">
      <c r="H415" s="88">
        <f>IFERROR('Master Data'!A413&amp;" - "&amp;'Master Data'!B413,"")</f>
        <v/>
      </c>
    </row>
    <row r="416">
      <c r="H416" s="88">
        <f>IFERROR('Master Data'!A414&amp;" - "&amp;'Master Data'!B414,"")</f>
        <v/>
      </c>
    </row>
    <row r="417">
      <c r="H417" s="88">
        <f>IFERROR('Master Data'!A415&amp;" - "&amp;'Master Data'!B415,"")</f>
        <v/>
      </c>
    </row>
    <row r="418">
      <c r="H418" s="88">
        <f>IFERROR('Master Data'!A416&amp;" - "&amp;'Master Data'!B416,"")</f>
        <v/>
      </c>
    </row>
    <row r="419">
      <c r="H419" s="88">
        <f>IFERROR('Master Data'!A417&amp;" - "&amp;'Master Data'!B417,"")</f>
        <v/>
      </c>
    </row>
    <row r="420">
      <c r="H420" s="88">
        <f>IFERROR('Master Data'!A418&amp;" - "&amp;'Master Data'!B418,"")</f>
        <v/>
      </c>
    </row>
    <row r="421">
      <c r="H421" s="88">
        <f>IFERROR('Master Data'!A419&amp;" - "&amp;'Master Data'!B419,"")</f>
        <v/>
      </c>
    </row>
    <row r="422">
      <c r="H422" s="88">
        <f>IFERROR('Master Data'!A420&amp;" - "&amp;'Master Data'!B420,"")</f>
        <v/>
      </c>
    </row>
    <row r="423">
      <c r="H423" s="88">
        <f>IFERROR('Master Data'!A421&amp;" - "&amp;'Master Data'!B421,"")</f>
        <v/>
      </c>
    </row>
    <row r="424">
      <c r="H424" s="88">
        <f>IFERROR('Master Data'!A422&amp;" - "&amp;'Master Data'!B422,"")</f>
        <v/>
      </c>
    </row>
    <row r="425">
      <c r="H425" s="88">
        <f>IFERROR('Master Data'!A423&amp;" - "&amp;'Master Data'!B423,"")</f>
        <v/>
      </c>
    </row>
    <row r="426">
      <c r="H426" s="88">
        <f>IFERROR('Master Data'!A424&amp;" - "&amp;'Master Data'!B424,"")</f>
        <v/>
      </c>
    </row>
    <row r="427">
      <c r="H427" s="88">
        <f>IFERROR('Master Data'!A425&amp;" - "&amp;'Master Data'!B425,"")</f>
        <v/>
      </c>
    </row>
    <row r="428">
      <c r="H428" s="88">
        <f>IFERROR('Master Data'!A426&amp;" - "&amp;'Master Data'!B426,"")</f>
        <v/>
      </c>
    </row>
    <row r="429">
      <c r="H429" s="88">
        <f>IFERROR('Master Data'!A427&amp;" - "&amp;'Master Data'!B427,"")</f>
        <v/>
      </c>
    </row>
    <row r="430">
      <c r="H430" s="88">
        <f>IFERROR('Master Data'!A428&amp;" - "&amp;'Master Data'!B428,"")</f>
        <v/>
      </c>
    </row>
    <row r="431">
      <c r="H431" s="88">
        <f>IFERROR('Master Data'!A429&amp;" - "&amp;'Master Data'!B429,"")</f>
        <v/>
      </c>
    </row>
    <row r="432">
      <c r="H432" s="88">
        <f>IFERROR('Master Data'!A430&amp;" - "&amp;'Master Data'!B430,"")</f>
        <v/>
      </c>
    </row>
    <row r="433">
      <c r="H433" s="88">
        <f>IFERROR('Master Data'!A431&amp;" - "&amp;'Master Data'!B431,"")</f>
        <v/>
      </c>
    </row>
    <row r="434">
      <c r="H434" s="88">
        <f>IFERROR('Master Data'!A432&amp;" - "&amp;'Master Data'!B432,"")</f>
        <v/>
      </c>
    </row>
    <row r="435">
      <c r="H435" s="88">
        <f>IFERROR('Master Data'!A433&amp;" - "&amp;'Master Data'!B433,"")</f>
        <v/>
      </c>
    </row>
    <row r="436">
      <c r="H436" s="88">
        <f>IFERROR('Master Data'!A434&amp;" - "&amp;'Master Data'!B434,"")</f>
        <v/>
      </c>
    </row>
    <row r="437">
      <c r="H437" s="88">
        <f>IFERROR('Master Data'!A435&amp;" - "&amp;'Master Data'!B435,"")</f>
        <v/>
      </c>
    </row>
    <row r="438">
      <c r="H438" s="88">
        <f>IFERROR('Master Data'!A436&amp;" - "&amp;'Master Data'!B436,"")</f>
        <v/>
      </c>
    </row>
    <row r="439">
      <c r="H439" s="88">
        <f>IFERROR('Master Data'!A437&amp;" - "&amp;'Master Data'!B437,"")</f>
        <v/>
      </c>
    </row>
    <row r="440">
      <c r="H440" s="88">
        <f>IFERROR('Master Data'!A438&amp;" - "&amp;'Master Data'!B438,"")</f>
        <v/>
      </c>
    </row>
    <row r="441">
      <c r="H441" s="88">
        <f>IFERROR('Master Data'!A439&amp;" - "&amp;'Master Data'!B439,"")</f>
        <v/>
      </c>
    </row>
    <row r="442">
      <c r="H442" s="88">
        <f>IFERROR('Master Data'!A440&amp;" - "&amp;'Master Data'!B440,"")</f>
        <v/>
      </c>
    </row>
    <row r="443">
      <c r="H443" s="88">
        <f>IFERROR('Master Data'!A441&amp;" - "&amp;'Master Data'!B441,"")</f>
        <v/>
      </c>
    </row>
    <row r="444">
      <c r="H444" s="88">
        <f>IFERROR('Master Data'!A442&amp;" - "&amp;'Master Data'!B442,"")</f>
        <v/>
      </c>
    </row>
    <row r="445">
      <c r="H445" s="88">
        <f>IFERROR('Master Data'!A443&amp;" - "&amp;'Master Data'!B443,"")</f>
        <v/>
      </c>
    </row>
    <row r="446">
      <c r="H446" s="88">
        <f>IFERROR('Master Data'!A444&amp;" - "&amp;'Master Data'!B444,"")</f>
        <v/>
      </c>
    </row>
    <row r="447">
      <c r="H447" s="88">
        <f>IFERROR('Master Data'!A445&amp;" - "&amp;'Master Data'!B445,"")</f>
        <v/>
      </c>
    </row>
    <row r="448">
      <c r="H448" s="88">
        <f>IFERROR('Master Data'!A446&amp;" - "&amp;'Master Data'!B446,"")</f>
        <v/>
      </c>
    </row>
    <row r="449">
      <c r="H449" s="88">
        <f>IFERROR('Master Data'!A447&amp;" - "&amp;'Master Data'!B447,"")</f>
        <v/>
      </c>
    </row>
    <row r="450">
      <c r="H450" s="88">
        <f>IFERROR('Master Data'!A448&amp;" - "&amp;'Master Data'!B448,"")</f>
        <v/>
      </c>
    </row>
    <row r="451">
      <c r="H451" s="88">
        <f>IFERROR('Master Data'!A449&amp;" - "&amp;'Master Data'!B449,"")</f>
        <v/>
      </c>
    </row>
    <row r="452">
      <c r="H452" s="88">
        <f>IFERROR('Master Data'!A450&amp;" - "&amp;'Master Data'!B450,"")</f>
        <v/>
      </c>
    </row>
    <row r="453">
      <c r="H453" s="88">
        <f>IFERROR('Master Data'!A451&amp;" - "&amp;'Master Data'!B451,"")</f>
        <v/>
      </c>
    </row>
    <row r="454">
      <c r="H454" s="88">
        <f>IFERROR('Master Data'!A452&amp;" - "&amp;'Master Data'!B452,"")</f>
        <v/>
      </c>
    </row>
    <row r="455">
      <c r="H455" s="88">
        <f>IFERROR('Master Data'!A453&amp;" - "&amp;'Master Data'!B453,"")</f>
        <v/>
      </c>
    </row>
    <row r="456">
      <c r="H456" s="88">
        <f>IFERROR('Master Data'!A454&amp;" - "&amp;'Master Data'!B454,"")</f>
        <v/>
      </c>
    </row>
    <row r="457">
      <c r="H457" s="88">
        <f>IFERROR('Master Data'!A455&amp;" - "&amp;'Master Data'!B455,"")</f>
        <v/>
      </c>
    </row>
    <row r="458">
      <c r="H458" s="88">
        <f>IFERROR('Master Data'!A456&amp;" - "&amp;'Master Data'!B456,"")</f>
        <v/>
      </c>
    </row>
    <row r="459">
      <c r="H459" s="88">
        <f>IFERROR('Master Data'!A457&amp;" - "&amp;'Master Data'!B457,"")</f>
        <v/>
      </c>
    </row>
    <row r="460">
      <c r="H460" s="88">
        <f>IFERROR('Master Data'!A458&amp;" - "&amp;'Master Data'!B458,"")</f>
        <v/>
      </c>
    </row>
    <row r="461">
      <c r="H461" s="88">
        <f>IFERROR('Master Data'!A459&amp;" - "&amp;'Master Data'!B459,"")</f>
        <v/>
      </c>
    </row>
    <row r="462">
      <c r="H462" s="88">
        <f>IFERROR('Master Data'!A460&amp;" - "&amp;'Master Data'!B460,"")</f>
        <v/>
      </c>
    </row>
    <row r="463">
      <c r="H463" s="88">
        <f>IFERROR('Master Data'!A461&amp;" - "&amp;'Master Data'!B461,"")</f>
        <v/>
      </c>
    </row>
    <row r="464">
      <c r="H464" s="88">
        <f>IFERROR('Master Data'!A462&amp;" - "&amp;'Master Data'!B462,"")</f>
        <v/>
      </c>
    </row>
    <row r="465">
      <c r="H465" s="88">
        <f>IFERROR('Master Data'!A463&amp;" - "&amp;'Master Data'!B463,"")</f>
        <v/>
      </c>
    </row>
    <row r="466">
      <c r="H466" s="88">
        <f>IFERROR('Master Data'!A464&amp;" - "&amp;'Master Data'!B464,"")</f>
        <v/>
      </c>
    </row>
    <row r="467">
      <c r="H467" s="88">
        <f>IFERROR('Master Data'!A465&amp;" - "&amp;'Master Data'!B465,"")</f>
        <v/>
      </c>
    </row>
    <row r="468">
      <c r="H468" s="88">
        <f>IFERROR('Master Data'!A466&amp;" - "&amp;'Master Data'!B466,"")</f>
        <v/>
      </c>
    </row>
    <row r="469">
      <c r="H469" s="88">
        <f>IFERROR('Master Data'!A467&amp;" - "&amp;'Master Data'!B467,"")</f>
        <v/>
      </c>
    </row>
    <row r="470">
      <c r="H470" s="88">
        <f>IFERROR('Master Data'!A468&amp;" - "&amp;'Master Data'!B468,"")</f>
        <v/>
      </c>
    </row>
    <row r="471">
      <c r="H471" s="88">
        <f>IFERROR('Master Data'!A469&amp;" - "&amp;'Master Data'!B469,"")</f>
        <v/>
      </c>
    </row>
    <row r="472">
      <c r="H472" s="88">
        <f>IFERROR('Master Data'!A470&amp;" - "&amp;'Master Data'!B470,"")</f>
        <v/>
      </c>
    </row>
    <row r="473">
      <c r="H473" s="88">
        <f>IFERROR('Master Data'!A471&amp;" - "&amp;'Master Data'!B471,"")</f>
        <v/>
      </c>
    </row>
    <row r="474">
      <c r="H474" s="88">
        <f>IFERROR('Master Data'!A472&amp;" - "&amp;'Master Data'!B472,"")</f>
        <v/>
      </c>
    </row>
    <row r="475">
      <c r="H475" s="88">
        <f>IFERROR('Master Data'!A473&amp;" - "&amp;'Master Data'!B473,"")</f>
        <v/>
      </c>
    </row>
    <row r="476">
      <c r="H476" s="88">
        <f>IFERROR('Master Data'!A474&amp;" - "&amp;'Master Data'!B474,"")</f>
        <v/>
      </c>
    </row>
    <row r="477">
      <c r="H477" s="88">
        <f>IFERROR('Master Data'!A475&amp;" - "&amp;'Master Data'!B475,"")</f>
        <v/>
      </c>
    </row>
    <row r="478">
      <c r="H478" s="88">
        <f>IFERROR('Master Data'!A476&amp;" - "&amp;'Master Data'!B476,"")</f>
        <v/>
      </c>
    </row>
    <row r="479">
      <c r="H479" s="88">
        <f>IFERROR('Master Data'!A477&amp;" - "&amp;'Master Data'!B477,"")</f>
        <v/>
      </c>
    </row>
    <row r="480">
      <c r="H480" s="88">
        <f>IFERROR('Master Data'!A478&amp;" - "&amp;'Master Data'!B478,"")</f>
        <v/>
      </c>
    </row>
    <row r="481">
      <c r="H481" s="88">
        <f>IFERROR('Master Data'!A479&amp;" - "&amp;'Master Data'!B479,"")</f>
        <v/>
      </c>
    </row>
    <row r="482">
      <c r="H482" s="88">
        <f>IFERROR('Master Data'!A480&amp;" - "&amp;'Master Data'!B480,"")</f>
        <v/>
      </c>
    </row>
    <row r="483">
      <c r="H483" s="88">
        <f>IFERROR('Master Data'!A481&amp;" - "&amp;'Master Data'!B481,"")</f>
        <v/>
      </c>
    </row>
    <row r="484">
      <c r="H484" s="88">
        <f>IFERROR('Master Data'!A482&amp;" - "&amp;'Master Data'!B482,"")</f>
        <v/>
      </c>
    </row>
    <row r="485">
      <c r="H485" s="88">
        <f>IFERROR('Master Data'!A483&amp;" - "&amp;'Master Data'!B483,"")</f>
        <v/>
      </c>
    </row>
    <row r="486">
      <c r="H486" s="88">
        <f>IFERROR('Master Data'!A484&amp;" - "&amp;'Master Data'!B484,"")</f>
        <v/>
      </c>
    </row>
    <row r="487">
      <c r="H487" s="88">
        <f>IFERROR('Master Data'!A485&amp;" - "&amp;'Master Data'!B485,"")</f>
        <v/>
      </c>
    </row>
    <row r="488">
      <c r="H488" s="88">
        <f>IFERROR('Master Data'!A486&amp;" - "&amp;'Master Data'!B486,"")</f>
        <v/>
      </c>
    </row>
    <row r="489">
      <c r="H489" s="88">
        <f>IFERROR('Master Data'!A487&amp;" - "&amp;'Master Data'!B487,"")</f>
        <v/>
      </c>
    </row>
    <row r="490">
      <c r="H490" s="88">
        <f>IFERROR('Master Data'!A488&amp;" - "&amp;'Master Data'!B488,"")</f>
        <v/>
      </c>
    </row>
    <row r="491">
      <c r="H491" s="88">
        <f>IFERROR('Master Data'!A489&amp;" - "&amp;'Master Data'!B489,"")</f>
        <v/>
      </c>
    </row>
    <row r="492">
      <c r="H492" s="88">
        <f>IFERROR('Master Data'!A490&amp;" - "&amp;'Master Data'!B490,"")</f>
        <v/>
      </c>
    </row>
    <row r="493">
      <c r="H493" s="88">
        <f>IFERROR('Master Data'!A491&amp;" - "&amp;'Master Data'!B491,"")</f>
        <v/>
      </c>
    </row>
    <row r="494">
      <c r="H494" s="88">
        <f>IFERROR('Master Data'!A492&amp;" - "&amp;'Master Data'!B492,"")</f>
        <v/>
      </c>
    </row>
    <row r="495">
      <c r="H495" s="88">
        <f>IFERROR('Master Data'!A493&amp;" - "&amp;'Master Data'!B493,"")</f>
        <v/>
      </c>
    </row>
    <row r="496">
      <c r="H496" s="88">
        <f>IFERROR('Master Data'!A494&amp;" - "&amp;'Master Data'!B494,"")</f>
        <v/>
      </c>
    </row>
    <row r="497">
      <c r="H497" s="88">
        <f>IFERROR('Master Data'!A495&amp;" - "&amp;'Master Data'!B495,"")</f>
        <v/>
      </c>
    </row>
    <row r="498">
      <c r="H498" s="88">
        <f>IFERROR('Master Data'!A496&amp;" - "&amp;'Master Data'!B496,"")</f>
        <v/>
      </c>
    </row>
    <row r="499">
      <c r="H499" s="88">
        <f>IFERROR('Master Data'!A497&amp;" - "&amp;'Master Data'!B497,"")</f>
        <v/>
      </c>
    </row>
    <row r="500">
      <c r="H500" s="88">
        <f>IFERROR('Master Data'!A498&amp;" - "&amp;'Master Data'!B498,"")</f>
        <v/>
      </c>
    </row>
  </sheetData>
  <mergeCells count="3">
    <mergeCell ref="B2:C2"/>
    <mergeCell ref="B10:C10"/>
    <mergeCell ref="B20:E20"/>
  </mergeCells>
  <dataValidations count="2">
    <dataValidation sqref="C4" showDropDown="0" showInputMessage="0" showErrorMessage="0" allowBlank="0" errorTitle="Invalid Entry" error="Please select a valid employee from the list" promptTitle="Employee" prompt="Choose an employee" type="list">
      <formula1>$H$2:$H$500</formula1>
      <formula2>0</formula2>
    </dataValidation>
    <dataValidation sqref="C6" showDropDown="0" showInputMessage="0" showErrorMessage="0" allowBlank="0" errorTitle="Invalid Entry" error="Please select a valid month from the list" promptTitle="Month" prompt="Choose a payroll month" type="list">
      <formula1>$J$2:$J$13</formula1>
      <formula2>0</formula2>
    </dataValidation>
  </dataValidations>
  <pageMargins left="0.75" right="0.75" top="1" bottom="1" header="0.511811023622047" footer="0.511811023622047"/>
  <pageSetup orientation="portrait" paperSize="9" horizontalDpi="300" verticalDpi="300"/>
  <drawing xmlns:r="http://schemas.openxmlformats.org/officeDocument/2006/relationships" r:id="rId1"/>
  <legacyDrawing xmlns:r="http://schemas.openxmlformats.org/officeDocument/2006/relationships" r:id="rId2"/>
  <mc:AlternateContent xmlns:mc="http://schemas.openxmlformats.org/markup-compatibility/2006" xmlns:r="http://schemas.openxmlformats.org/officeDocument/2006/relationships" xmlns:xdr="http://schemas.openxmlformats.org/drawingml/2006/spreadsheetDrawing">
    <mc:Choice Requires="x14">
      <controls>
        <mc:AlternateContent>
          <mc:Choice Requires="x14">
            <control shapeId="1025" r:id="rId3" name="Button 1">
              <controlPr defaultSize="0" print="0" autoFill="0" autoPict="0" macro="[0]!Module1.GenerateCurrentSlip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177800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>
          <mc:Choice Requires="x14">
            <control shapeId="1026" r:id="rId4" name="Button 2">
              <controlPr defaultSize="0" print="0" autoFill="0" autoPict="0" macro="[0]!Module1.GenerateAllSlips">
                <anchor moveWithCells="1" sizeWithCells="1">
                  <from>
                    <xdr:col>1</xdr:col>
                    <xdr:colOff>0</xdr:colOff>
                    <xdr:row>16</xdr:row>
                    <xdr:rowOff>0</xdr:rowOff>
                  </from>
                  <to>
                    <xdr:col>3</xdr:col>
                    <xdr:colOff>177800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>
  <sheetPr codeName="Sheet2" filterMode="1">
    <outlinePr summaryBelow="1" summaryRight="1"/>
    <pageSetUpPr/>
  </sheetPr>
  <dimension ref="A1:AQ500"/>
  <sheetViews>
    <sheetView tabSelected="1" topLeftCell="C1" zoomScaleNormal="100" workbookViewId="0">
      <selection activeCell="AO22" sqref="AO22"/>
    </sheetView>
  </sheetViews>
  <sheetFormatPr baseColWidth="8" defaultColWidth="8.54296875" defaultRowHeight="14.5"/>
  <cols>
    <col width="9.54296875" customWidth="1" style="103" min="1" max="1"/>
    <col width="25" bestFit="1" customWidth="1" style="103" min="2" max="2"/>
    <col width="25" customWidth="1" style="103" min="3" max="3"/>
    <col width="10.90625" bestFit="1" customWidth="1" style="103" min="4" max="4"/>
    <col hidden="1" width="8.81640625" customWidth="1" style="103" min="5" max="6"/>
    <col hidden="1" width="18.453125" customWidth="1" style="103" min="7" max="7"/>
    <col hidden="1" width="13.7265625" customWidth="1" style="103" min="8" max="8"/>
    <col hidden="1" width="12.54296875" customWidth="1" style="103" min="9" max="9"/>
    <col width="12.7265625" bestFit="1" customWidth="1" style="103" min="10" max="10"/>
    <col width="12.7265625" customWidth="1" style="103" min="11" max="11"/>
    <col hidden="1" width="6.1796875" customWidth="1" style="103" min="12" max="12"/>
    <col hidden="1" width="6.81640625" customWidth="1" style="103" min="13" max="13"/>
    <col hidden="1" width="6.08984375" customWidth="1" style="103" min="14" max="14"/>
    <col hidden="1" width="5.54296875" customWidth="1" style="103" min="15" max="15"/>
    <col hidden="1" width="6.453125" customWidth="1" style="103" min="16" max="18"/>
    <col hidden="1" width="6.54296875" customWidth="1" style="103" min="19" max="19"/>
    <col hidden="1" width="6.7265625" customWidth="1" style="103" min="20" max="20"/>
    <col hidden="1" width="6.08984375" customWidth="1" style="103" min="21" max="21"/>
    <col hidden="1" width="6.453125" customWidth="1" style="103" min="22" max="22"/>
    <col hidden="1" width="6.54296875" customWidth="1" style="103" min="23" max="23"/>
    <col hidden="1" width="11.1796875" customWidth="1" style="103" min="24" max="25"/>
    <col hidden="1" width="12.54296875" customWidth="1" style="103" min="26" max="26"/>
    <col hidden="1" width="13.7265625" customWidth="1" style="103" min="27" max="27"/>
    <col hidden="1" width="11.1796875" customWidth="1" style="103" min="28" max="29"/>
    <col hidden="1" width="12.54296875" customWidth="1" style="103" min="30" max="30"/>
    <col hidden="1" width="13.7265625" customWidth="1" style="103" min="31" max="31"/>
    <col hidden="1" width="11.1796875" customWidth="1" style="103" min="32" max="33"/>
    <col hidden="1" width="12.54296875" customWidth="1" style="103" min="34" max="34"/>
    <col width="13.7265625" customWidth="1" style="103" min="35" max="35"/>
    <col width="11.1796875" bestFit="1" customWidth="1" style="103" min="36" max="36"/>
    <col width="8.90625" bestFit="1" customWidth="1" style="103" min="37" max="37"/>
    <col width="10.26953125" bestFit="1" customWidth="1" style="103" min="38" max="38"/>
    <col width="11.453125" bestFit="1" customWidth="1" style="103" min="39" max="39"/>
    <col width="9.6328125" bestFit="1" customWidth="1" style="103" min="40" max="40"/>
    <col width="11.1796875" bestFit="1" customWidth="1" style="103" min="41" max="41"/>
  </cols>
  <sheetData>
    <row r="1" ht="14.25" customHeight="1" s="103">
      <c r="I1" s="16">
        <f>+K3-J1</f>
        <v/>
      </c>
      <c r="J1">
        <f>60000*12</f>
        <v/>
      </c>
      <c r="K1">
        <f>+J1-21600</f>
        <v/>
      </c>
      <c r="L1">
        <f>+DAY(L2)</f>
        <v/>
      </c>
      <c r="M1">
        <f>+DAY(M2)</f>
        <v/>
      </c>
      <c r="N1">
        <f>+DAY(N2)</f>
        <v/>
      </c>
      <c r="O1">
        <f>+DAY(O2)</f>
        <v/>
      </c>
      <c r="P1">
        <f>+DAY(P2)</f>
        <v/>
      </c>
      <c r="Q1">
        <f>+DAY(Q2)</f>
        <v/>
      </c>
      <c r="R1">
        <f>+DAY(R2)</f>
        <v/>
      </c>
      <c r="S1">
        <f>+DAY(S2)</f>
        <v/>
      </c>
      <c r="T1">
        <f>+DAY(T2)</f>
        <v/>
      </c>
      <c r="U1">
        <f>+DAY(U2)</f>
        <v/>
      </c>
      <c r="V1">
        <f>+DAY(V2)</f>
        <v/>
      </c>
      <c r="W1">
        <f>+DAY(W2)</f>
        <v/>
      </c>
      <c r="X1" s="100" t="inlineStr">
        <is>
          <t>Apr'26</t>
        </is>
      </c>
      <c r="Y1" s="101" t="n"/>
      <c r="Z1" s="101" t="n"/>
      <c r="AA1" s="101" t="n"/>
      <c r="AB1" s="100" t="inlineStr">
        <is>
          <t>May'26</t>
        </is>
      </c>
      <c r="AC1" s="101" t="n"/>
      <c r="AD1" s="101" t="n"/>
      <c r="AE1" s="101" t="n"/>
      <c r="AF1" s="100" t="inlineStr">
        <is>
          <t>Jun'26</t>
        </is>
      </c>
      <c r="AG1" s="101" t="n"/>
      <c r="AH1" s="101" t="n"/>
      <c r="AI1" s="101" t="n"/>
      <c r="AJ1" s="100" t="inlineStr">
        <is>
          <t>Jul'26</t>
        </is>
      </c>
      <c r="AK1" s="101" t="n"/>
      <c r="AL1" s="101" t="n"/>
      <c r="AM1" s="101" t="n"/>
      <c r="AN1" s="16" t="n"/>
      <c r="AQ1" t="n">
        <v>1300000</v>
      </c>
    </row>
    <row r="2" ht="14.25" customHeight="1" s="103">
      <c r="A2" s="6" t="inlineStr">
        <is>
          <t>EMP CODE</t>
        </is>
      </c>
      <c r="B2" s="6" t="inlineStr">
        <is>
          <t>EMP NAME</t>
        </is>
      </c>
      <c r="C2" s="6" t="inlineStr">
        <is>
          <t>Status</t>
        </is>
      </c>
      <c r="D2" s="6" t="inlineStr">
        <is>
          <t>PF Status</t>
        </is>
      </c>
      <c r="E2" s="6" t="inlineStr">
        <is>
          <t>Basic</t>
        </is>
      </c>
      <c r="F2" s="6" t="inlineStr">
        <is>
          <t>HRA</t>
        </is>
      </c>
      <c r="G2" s="6" t="inlineStr">
        <is>
          <t>Special Allowance</t>
        </is>
      </c>
      <c r="H2" s="6" t="inlineStr">
        <is>
          <t>PF Employee</t>
        </is>
      </c>
      <c r="I2" s="6" t="inlineStr">
        <is>
          <t>Income Tax</t>
        </is>
      </c>
      <c r="J2" s="6" t="inlineStr">
        <is>
          <t>Total Salary</t>
        </is>
      </c>
      <c r="K2" s="6" t="inlineStr">
        <is>
          <t>Total Salary Annual</t>
        </is>
      </c>
      <c r="L2" s="7" t="n">
        <v>46142</v>
      </c>
      <c r="M2" s="8" t="n">
        <v>46173</v>
      </c>
      <c r="N2" s="7" t="n">
        <v>46203</v>
      </c>
      <c r="O2" s="9" t="n">
        <v>46234</v>
      </c>
      <c r="P2" s="9" t="n">
        <v>46265</v>
      </c>
      <c r="Q2" s="9" t="n">
        <v>46295</v>
      </c>
      <c r="R2" s="9" t="n">
        <v>46326</v>
      </c>
      <c r="S2" s="9" t="n">
        <v>46356</v>
      </c>
      <c r="T2" s="9" t="n">
        <v>46387</v>
      </c>
      <c r="U2" s="9" t="n">
        <v>46418</v>
      </c>
      <c r="V2" s="9" t="n">
        <v>46446</v>
      </c>
      <c r="W2" s="9" t="n">
        <v>46477</v>
      </c>
      <c r="X2" s="10" t="inlineStr">
        <is>
          <t>Apr'26</t>
        </is>
      </c>
      <c r="Y2" s="11" t="inlineStr">
        <is>
          <t>Advances</t>
        </is>
      </c>
      <c r="Z2" s="11" t="inlineStr">
        <is>
          <t>Income Tax</t>
        </is>
      </c>
      <c r="AA2" s="11" t="inlineStr">
        <is>
          <t>Amount Paid</t>
        </is>
      </c>
      <c r="AB2" s="10" t="inlineStr">
        <is>
          <t>May'26</t>
        </is>
      </c>
      <c r="AC2" s="11" t="inlineStr">
        <is>
          <t>Advances</t>
        </is>
      </c>
      <c r="AD2" s="11" t="inlineStr">
        <is>
          <t>Income Tax</t>
        </is>
      </c>
      <c r="AE2" s="11" t="inlineStr">
        <is>
          <t>Amount Paid</t>
        </is>
      </c>
      <c r="AF2" s="10" t="inlineStr">
        <is>
          <t>Jun'26</t>
        </is>
      </c>
      <c r="AG2" s="11" t="inlineStr">
        <is>
          <t>Advances</t>
        </is>
      </c>
      <c r="AH2" s="11" t="inlineStr">
        <is>
          <t>Income Tax</t>
        </is>
      </c>
      <c r="AI2" s="11" t="inlineStr">
        <is>
          <t>Amount Paid</t>
        </is>
      </c>
      <c r="AJ2" s="10" t="inlineStr">
        <is>
          <t>Jul'26</t>
        </is>
      </c>
      <c r="AK2" s="11" t="inlineStr">
        <is>
          <t>Advances</t>
        </is>
      </c>
      <c r="AL2" s="11" t="inlineStr">
        <is>
          <t>Income Tax</t>
        </is>
      </c>
      <c r="AM2" s="11" t="inlineStr">
        <is>
          <t>Amount Paid</t>
        </is>
      </c>
    </row>
    <row r="3" hidden="1" ht="14.25" customHeight="1" s="103">
      <c r="A3" s="12" t="inlineStr">
        <is>
          <t>INF0001</t>
        </is>
      </c>
      <c r="B3" s="12" t="inlineStr">
        <is>
          <t>Arun Awasthi</t>
        </is>
      </c>
      <c r="C3" s="12" t="inlineStr">
        <is>
          <t>Active</t>
        </is>
      </c>
      <c r="D3" s="12" t="inlineStr">
        <is>
          <t>Yes</t>
        </is>
      </c>
      <c r="E3" s="13" t="n">
        <v>30000</v>
      </c>
      <c r="F3" s="13">
        <f>+E3/2</f>
        <v/>
      </c>
      <c r="G3" s="13">
        <f>+F3-1800</f>
        <v/>
      </c>
      <c r="H3" s="13" t="n">
        <v>1800</v>
      </c>
      <c r="I3" s="13">
        <f>+'Income Tax'!F2</f>
        <v/>
      </c>
      <c r="J3" s="21">
        <f>+SUM(E3:G3)</f>
        <v/>
      </c>
      <c r="K3" s="21">
        <f>+(J3/30.5)*SUM(L3:W3)</f>
        <v/>
      </c>
      <c r="L3" s="14" t="n">
        <v>30</v>
      </c>
      <c r="M3" s="15" t="n">
        <v>31</v>
      </c>
      <c r="N3" s="15" t="n">
        <v>30</v>
      </c>
      <c r="O3" s="14" t="n">
        <v>31</v>
      </c>
      <c r="P3" t="n">
        <v>31</v>
      </c>
      <c r="Q3" t="n">
        <v>30</v>
      </c>
      <c r="R3" t="n">
        <v>31</v>
      </c>
      <c r="S3" t="n">
        <v>30</v>
      </c>
      <c r="T3" t="n">
        <v>31</v>
      </c>
      <c r="U3" t="n">
        <v>31</v>
      </c>
      <c r="V3" t="n">
        <v>28</v>
      </c>
      <c r="W3" t="n">
        <v>31</v>
      </c>
      <c r="X3" s="16">
        <f>ROUND(J3/L$1*L3,0)</f>
        <v/>
      </c>
      <c r="Y3" s="14" t="n">
        <v>0</v>
      </c>
      <c r="Z3" s="14">
        <f>+'Income Tax'!F2</f>
        <v/>
      </c>
      <c r="AA3" s="17">
        <f>+X3-Y3</f>
        <v/>
      </c>
      <c r="AB3" s="16">
        <f>ROUND(J3/M$1*M3,0)</f>
        <v/>
      </c>
      <c r="AC3" s="14" t="n"/>
      <c r="AD3" s="14">
        <f>+'Income Tax'!G2</f>
        <v/>
      </c>
      <c r="AE3" s="17">
        <f>+AB3-AC3</f>
        <v/>
      </c>
      <c r="AF3" s="16">
        <f>ROUND(J3/N$1*N3,0)</f>
        <v/>
      </c>
      <c r="AG3" s="14" t="n"/>
      <c r="AH3" s="14">
        <f>+'Income Tax'!H2</f>
        <v/>
      </c>
      <c r="AI3" s="17">
        <f>+AF3-AG3</f>
        <v/>
      </c>
      <c r="AJ3" s="16">
        <f>ROUND(J3/O$1*O3,0)</f>
        <v/>
      </c>
      <c r="AK3" s="14" t="n"/>
      <c r="AL3" s="14">
        <f>+'Income Tax'!I2</f>
        <v/>
      </c>
      <c r="AM3" s="17">
        <f>+AJ3-AK3-AL3-H3</f>
        <v/>
      </c>
    </row>
    <row r="4" hidden="1" ht="14.25" customHeight="1" s="103">
      <c r="A4" s="18" t="inlineStr">
        <is>
          <t>INF0002</t>
        </is>
      </c>
      <c r="B4" s="18" t="inlineStr">
        <is>
          <t>Anjita</t>
        </is>
      </c>
      <c r="C4" s="12" t="inlineStr">
        <is>
          <t>Active</t>
        </is>
      </c>
      <c r="D4" s="12" t="inlineStr">
        <is>
          <t>Yes</t>
        </is>
      </c>
      <c r="E4" s="13" t="n">
        <v>30000</v>
      </c>
      <c r="F4" s="13">
        <f>+E4/2</f>
        <v/>
      </c>
      <c r="G4" s="13">
        <f>+F4-1800</f>
        <v/>
      </c>
      <c r="H4" s="13" t="n">
        <v>1800</v>
      </c>
      <c r="I4" s="13">
        <f>+'Income Tax'!F3</f>
        <v/>
      </c>
      <c r="J4" s="21">
        <f>+SUM(E4:G4)</f>
        <v/>
      </c>
      <c r="K4" s="21">
        <f>+(J4/30.5)*SUM(L4:W4)</f>
        <v/>
      </c>
      <c r="L4" s="14" t="n">
        <v>30</v>
      </c>
      <c r="M4" s="14" t="n">
        <v>31</v>
      </c>
      <c r="N4" s="14" t="n">
        <v>30</v>
      </c>
      <c r="O4" s="14" t="n">
        <v>31</v>
      </c>
      <c r="P4" t="n">
        <v>31</v>
      </c>
      <c r="Q4" t="n">
        <v>30</v>
      </c>
      <c r="R4" t="n">
        <v>31</v>
      </c>
      <c r="S4" t="n">
        <v>30</v>
      </c>
      <c r="T4" t="n">
        <v>31</v>
      </c>
      <c r="U4" t="n">
        <v>31</v>
      </c>
      <c r="V4" t="n">
        <v>28</v>
      </c>
      <c r="W4" t="n">
        <v>31</v>
      </c>
      <c r="X4" s="16">
        <f>ROUND(J4/L$1*L4,0)</f>
        <v/>
      </c>
      <c r="Y4" s="14" t="n">
        <v>0</v>
      </c>
      <c r="Z4" s="14">
        <f>+'Income Tax'!F3</f>
        <v/>
      </c>
      <c r="AA4" s="17">
        <f>+X4-Y4</f>
        <v/>
      </c>
      <c r="AB4" s="16">
        <f>ROUND(J4/M$1*M4,0)</f>
        <v/>
      </c>
      <c r="AC4" s="14" t="n"/>
      <c r="AD4" s="14">
        <f>+'Income Tax'!G3</f>
        <v/>
      </c>
      <c r="AE4" s="17">
        <f>+AB4-AC4</f>
        <v/>
      </c>
      <c r="AF4" s="16">
        <f>ROUND(J4/N$1*N4,0)</f>
        <v/>
      </c>
      <c r="AG4" s="14" t="n"/>
      <c r="AH4" s="14">
        <f>+'Income Tax'!H3</f>
        <v/>
      </c>
      <c r="AI4" s="17">
        <f>+AF4-AG4</f>
        <v/>
      </c>
      <c r="AJ4" s="16">
        <f>ROUND(J4/O$1*O4,0)</f>
        <v/>
      </c>
      <c r="AK4" s="14" t="n"/>
      <c r="AL4" s="14">
        <f>+'Income Tax'!I3</f>
        <v/>
      </c>
      <c r="AM4" s="17">
        <f>+AJ4-AK4-AL4-H4</f>
        <v/>
      </c>
    </row>
    <row r="5" hidden="1" ht="14.25" customHeight="1" s="103">
      <c r="A5" s="64" t="inlineStr">
        <is>
          <t>INF0003</t>
        </is>
      </c>
      <c r="B5" s="19" t="inlineStr">
        <is>
          <t>ABHAY KUMAR</t>
        </is>
      </c>
      <c r="C5" s="20" t="inlineStr">
        <is>
          <t>Inactive</t>
        </is>
      </c>
      <c r="D5" s="12" t="inlineStr">
        <is>
          <t>No</t>
        </is>
      </c>
      <c r="E5" s="13" t="n">
        <v>50000</v>
      </c>
      <c r="F5" s="13">
        <f>+E5/2</f>
        <v/>
      </c>
      <c r="G5" s="13">
        <f>+F5</f>
        <v/>
      </c>
      <c r="H5" s="13" t="n">
        <v>0</v>
      </c>
      <c r="I5" s="13">
        <f>+'Income Tax'!F4</f>
        <v/>
      </c>
      <c r="J5" s="21">
        <f>+SUM(E5:H5)</f>
        <v/>
      </c>
      <c r="K5" s="21">
        <f>+(J5/30.5)*SUM(L5:W5)</f>
        <v/>
      </c>
      <c r="L5" s="14" t="n">
        <v>30</v>
      </c>
      <c r="M5" s="14" t="n">
        <v>31</v>
      </c>
      <c r="N5" s="14" t="n">
        <v>30</v>
      </c>
      <c r="O5" s="14" t="n">
        <v>0</v>
      </c>
      <c r="P5" t="n">
        <v>31</v>
      </c>
      <c r="Q5" t="n">
        <v>30</v>
      </c>
      <c r="R5" t="n">
        <v>31</v>
      </c>
      <c r="S5" t="n">
        <v>30</v>
      </c>
      <c r="T5" t="n">
        <v>31</v>
      </c>
      <c r="U5" t="n">
        <v>31</v>
      </c>
      <c r="V5" t="n">
        <v>28</v>
      </c>
      <c r="W5" t="n">
        <v>31</v>
      </c>
      <c r="X5" s="16">
        <f>ROUND(J5/L$1*L5,0)</f>
        <v/>
      </c>
      <c r="Y5" s="14" t="n">
        <v>0</v>
      </c>
      <c r="Z5" s="14">
        <f>+'Income Tax'!F4</f>
        <v/>
      </c>
      <c r="AA5" s="17">
        <f>+X5-Y5</f>
        <v/>
      </c>
      <c r="AB5" s="16">
        <f>ROUND(J5/M$1*M5,0)</f>
        <v/>
      </c>
      <c r="AC5" s="14" t="n"/>
      <c r="AD5" s="14">
        <f>+'Income Tax'!G4</f>
        <v/>
      </c>
      <c r="AE5" s="17">
        <f>+AB5-AC5</f>
        <v/>
      </c>
      <c r="AF5" s="16">
        <f>ROUND(J5/N$1*N5,0)</f>
        <v/>
      </c>
      <c r="AG5" s="14" t="n"/>
      <c r="AH5" s="14">
        <f>+'Income Tax'!H4</f>
        <v/>
      </c>
      <c r="AI5" s="17">
        <f>+AF5-AG5</f>
        <v/>
      </c>
      <c r="AJ5" s="16">
        <f>ROUND(J5/O$1*O5,0)</f>
        <v/>
      </c>
      <c r="AK5" s="14" t="n"/>
      <c r="AL5" s="14">
        <f>+'Income Tax'!I4</f>
        <v/>
      </c>
      <c r="AM5" s="17">
        <f>+AJ5-AK5-AL5-H5</f>
        <v/>
      </c>
    </row>
    <row r="6" hidden="1" ht="14.25" customHeight="1" s="103">
      <c r="A6" s="18" t="inlineStr">
        <is>
          <t>INF0004</t>
        </is>
      </c>
      <c r="B6" s="18" t="inlineStr">
        <is>
          <t>Brajesh Kumar Singh</t>
        </is>
      </c>
      <c r="C6" s="12" t="inlineStr">
        <is>
          <t>Active</t>
        </is>
      </c>
      <c r="D6" s="12" t="inlineStr">
        <is>
          <t>Yes</t>
        </is>
      </c>
      <c r="E6" s="13" t="n">
        <v>32500</v>
      </c>
      <c r="F6" s="13">
        <f>+E6/2</f>
        <v/>
      </c>
      <c r="G6" s="13">
        <f>+F6-1800</f>
        <v/>
      </c>
      <c r="H6" s="13" t="n">
        <v>1800</v>
      </c>
      <c r="I6" s="13">
        <f>+'Income Tax'!F5</f>
        <v/>
      </c>
      <c r="J6" s="21">
        <f>+SUM(E6:G6)</f>
        <v/>
      </c>
      <c r="K6" s="21">
        <f>+(J6/30.5)*SUM(L6:W6)</f>
        <v/>
      </c>
      <c r="L6" s="14" t="n">
        <v>30</v>
      </c>
      <c r="M6" s="14" t="n">
        <v>31</v>
      </c>
      <c r="N6" s="14" t="n">
        <v>30</v>
      </c>
      <c r="O6" s="14" t="n">
        <v>31</v>
      </c>
      <c r="P6" t="n">
        <v>31</v>
      </c>
      <c r="Q6" t="n">
        <v>30</v>
      </c>
      <c r="R6" t="n">
        <v>31</v>
      </c>
      <c r="S6" t="n">
        <v>30</v>
      </c>
      <c r="T6" t="n">
        <v>31</v>
      </c>
      <c r="U6" t="n">
        <v>31</v>
      </c>
      <c r="V6" t="n">
        <v>28</v>
      </c>
      <c r="W6" t="n">
        <v>31</v>
      </c>
      <c r="X6" s="16">
        <f>ROUND(J6/L$1*L6,0)</f>
        <v/>
      </c>
      <c r="Y6" s="14" t="n">
        <v>0</v>
      </c>
      <c r="Z6" s="14">
        <f>+'Income Tax'!F5</f>
        <v/>
      </c>
      <c r="AA6" s="17">
        <f>+X6-Y6</f>
        <v/>
      </c>
      <c r="AB6" s="16">
        <f>ROUND(J6/M$1*M6,0)</f>
        <v/>
      </c>
      <c r="AC6" s="14" t="n"/>
      <c r="AD6" s="14">
        <f>+'Income Tax'!G5</f>
        <v/>
      </c>
      <c r="AE6" s="17">
        <f>+AB6-AC6</f>
        <v/>
      </c>
      <c r="AF6" s="16">
        <f>ROUND(J6/N$1*N6,0)</f>
        <v/>
      </c>
      <c r="AG6" s="14" t="n"/>
      <c r="AH6" s="14">
        <f>+'Income Tax'!H5</f>
        <v/>
      </c>
      <c r="AI6" s="17">
        <f>+AF6-AG6</f>
        <v/>
      </c>
      <c r="AJ6" s="16">
        <f>ROUND(J6/O$1*O6,0)</f>
        <v/>
      </c>
      <c r="AK6" s="14" t="n"/>
      <c r="AL6" s="14">
        <f>+'Income Tax'!I5</f>
        <v/>
      </c>
      <c r="AM6" s="17">
        <f>+AJ6-AK6-AL6-H6</f>
        <v/>
      </c>
    </row>
    <row r="7" hidden="1" ht="14.25" customHeight="1" s="103">
      <c r="A7" s="18" t="inlineStr">
        <is>
          <t>INF0005</t>
        </is>
      </c>
      <c r="B7" s="18" t="inlineStr">
        <is>
          <t>Vikash Kumar</t>
        </is>
      </c>
      <c r="C7" s="12" t="inlineStr">
        <is>
          <t>Active</t>
        </is>
      </c>
      <c r="D7" s="12" t="inlineStr">
        <is>
          <t>Yes</t>
        </is>
      </c>
      <c r="E7" s="13" t="n">
        <v>12000</v>
      </c>
      <c r="F7" s="13">
        <f>+E7/2</f>
        <v/>
      </c>
      <c r="G7" s="13">
        <f>+F7-1800</f>
        <v/>
      </c>
      <c r="H7" s="13" t="n">
        <v>1800</v>
      </c>
      <c r="I7" s="13">
        <f>+'Income Tax'!F6</f>
        <v/>
      </c>
      <c r="J7" s="21">
        <f>+SUM(E7:G7)</f>
        <v/>
      </c>
      <c r="K7" s="21">
        <f>+(J7/30.5)*SUM(L7:W7)</f>
        <v/>
      </c>
      <c r="L7" s="14" t="n">
        <v>30</v>
      </c>
      <c r="M7" s="14" t="n">
        <v>31</v>
      </c>
      <c r="N7" s="14" t="n">
        <v>30</v>
      </c>
      <c r="O7" s="14" t="n">
        <v>31</v>
      </c>
      <c r="P7" t="n">
        <v>31</v>
      </c>
      <c r="Q7" t="n">
        <v>30</v>
      </c>
      <c r="R7" t="n">
        <v>31</v>
      </c>
      <c r="S7" t="n">
        <v>30</v>
      </c>
      <c r="T7" t="n">
        <v>31</v>
      </c>
      <c r="U7" t="n">
        <v>31</v>
      </c>
      <c r="V7" t="n">
        <v>28</v>
      </c>
      <c r="W7" t="n">
        <v>31</v>
      </c>
      <c r="X7" s="16">
        <f>ROUND(J7/L$1*L7,0)</f>
        <v/>
      </c>
      <c r="Y7" s="14" t="n">
        <v>0</v>
      </c>
      <c r="Z7" s="14">
        <f>+'Income Tax'!F6</f>
        <v/>
      </c>
      <c r="AA7" s="17">
        <f>+X7-Y7</f>
        <v/>
      </c>
      <c r="AB7" s="16">
        <f>ROUND(J7/M$1*M7,0)</f>
        <v/>
      </c>
      <c r="AC7" s="14" t="n"/>
      <c r="AD7" s="14">
        <f>+'Income Tax'!G6</f>
        <v/>
      </c>
      <c r="AE7" s="17">
        <f>+AB7-AC7</f>
        <v/>
      </c>
      <c r="AF7" s="16">
        <f>ROUND(J7/N$1*N7,0)</f>
        <v/>
      </c>
      <c r="AG7" s="14" t="n"/>
      <c r="AH7" s="14">
        <f>+'Income Tax'!H6</f>
        <v/>
      </c>
      <c r="AI7" s="17">
        <f>+AF7-AG7</f>
        <v/>
      </c>
      <c r="AJ7" s="16">
        <f>ROUND(J7/O$1*O7,0)</f>
        <v/>
      </c>
      <c r="AK7" s="14" t="n"/>
      <c r="AL7" s="14">
        <f>+'Income Tax'!I6</f>
        <v/>
      </c>
      <c r="AM7" s="17">
        <f>+AJ7-AK7-AL7-H7</f>
        <v/>
      </c>
    </row>
    <row r="8" hidden="1" ht="14.25" customHeight="1" s="103">
      <c r="A8" s="18" t="inlineStr">
        <is>
          <t>INF0006</t>
        </is>
      </c>
      <c r="B8" s="18" t="inlineStr">
        <is>
          <t>Ankit Saini</t>
        </is>
      </c>
      <c r="C8" s="12" t="inlineStr">
        <is>
          <t>Active</t>
        </is>
      </c>
      <c r="D8" s="12" t="inlineStr">
        <is>
          <t>No</t>
        </is>
      </c>
      <c r="E8" s="13" t="n">
        <v>15000</v>
      </c>
      <c r="F8" s="13">
        <f>+E8/2</f>
        <v/>
      </c>
      <c r="G8" s="13">
        <f>+F8</f>
        <v/>
      </c>
      <c r="H8" s="13" t="n">
        <v>0</v>
      </c>
      <c r="I8" s="13">
        <f>+'Income Tax'!F7</f>
        <v/>
      </c>
      <c r="J8" s="21">
        <f>+SUM(E8:H8)</f>
        <v/>
      </c>
      <c r="K8" s="21">
        <f>+(J8/30.5)*SUM(L8:W8)</f>
        <v/>
      </c>
      <c r="L8" s="14" t="n">
        <v>30</v>
      </c>
      <c r="M8" s="14" t="n">
        <v>31</v>
      </c>
      <c r="N8" s="14" t="n">
        <v>30</v>
      </c>
      <c r="O8" s="14" t="n">
        <v>31</v>
      </c>
      <c r="P8" t="n">
        <v>31</v>
      </c>
      <c r="Q8" t="n">
        <v>30</v>
      </c>
      <c r="R8" t="n">
        <v>31</v>
      </c>
      <c r="S8" t="n">
        <v>30</v>
      </c>
      <c r="T8" t="n">
        <v>31</v>
      </c>
      <c r="U8" t="n">
        <v>31</v>
      </c>
      <c r="V8" t="n">
        <v>28</v>
      </c>
      <c r="W8" t="n">
        <v>31</v>
      </c>
      <c r="X8" s="16">
        <f>ROUND(J8/L$1*L8,0)</f>
        <v/>
      </c>
      <c r="Y8" s="14" t="n">
        <v>0</v>
      </c>
      <c r="Z8" s="14">
        <f>+'Income Tax'!F7</f>
        <v/>
      </c>
      <c r="AA8" s="17">
        <f>+X8-Y8</f>
        <v/>
      </c>
      <c r="AB8" s="16">
        <f>ROUND(J8/M$1*M8,0)</f>
        <v/>
      </c>
      <c r="AC8" s="14" t="n"/>
      <c r="AD8" s="14">
        <f>+'Income Tax'!G7</f>
        <v/>
      </c>
      <c r="AE8" s="17">
        <f>+AB8-AC8</f>
        <v/>
      </c>
      <c r="AF8" s="16">
        <f>ROUND(J8/N$1*N8,0)</f>
        <v/>
      </c>
      <c r="AG8" s="14" t="n"/>
      <c r="AH8" s="14">
        <f>+'Income Tax'!H7</f>
        <v/>
      </c>
      <c r="AI8" s="17">
        <f>+AF8-AG8</f>
        <v/>
      </c>
      <c r="AJ8" s="16">
        <f>ROUND(J8/O$1*O8,0)</f>
        <v/>
      </c>
      <c r="AK8" s="14" t="n"/>
      <c r="AL8" s="14">
        <f>+'Income Tax'!I7</f>
        <v/>
      </c>
      <c r="AM8" s="17">
        <f>+AJ8-AK8-AL8-H8</f>
        <v/>
      </c>
    </row>
    <row r="9" hidden="1" ht="14.25" customHeight="1" s="103">
      <c r="A9" s="18" t="inlineStr">
        <is>
          <t>INF0007</t>
        </is>
      </c>
      <c r="B9" s="93" t="inlineStr">
        <is>
          <t>Khokan Pradhan</t>
        </is>
      </c>
      <c r="C9" s="12" t="inlineStr">
        <is>
          <t>Active</t>
        </is>
      </c>
      <c r="D9" s="12" t="inlineStr">
        <is>
          <t>No</t>
        </is>
      </c>
      <c r="E9" s="13" t="n">
        <v>6250</v>
      </c>
      <c r="F9" s="13">
        <f>+E9/2</f>
        <v/>
      </c>
      <c r="G9" s="13">
        <f>+F9</f>
        <v/>
      </c>
      <c r="H9" s="13" t="n">
        <v>0</v>
      </c>
      <c r="I9" s="13">
        <f>+'Income Tax'!F8</f>
        <v/>
      </c>
      <c r="J9" s="21">
        <f>+SUM(E9:H9)</f>
        <v/>
      </c>
      <c r="K9" s="21">
        <f>+(J9/30.5)*SUM(L9:W9)</f>
        <v/>
      </c>
      <c r="L9" s="14" t="n">
        <v>30</v>
      </c>
      <c r="M9" s="14" t="n">
        <v>31</v>
      </c>
      <c r="N9" s="14" t="n">
        <v>13</v>
      </c>
      <c r="O9" s="14" t="n">
        <v>31</v>
      </c>
      <c r="P9" t="n">
        <v>31</v>
      </c>
      <c r="Q9" t="n">
        <v>30</v>
      </c>
      <c r="R9" t="n">
        <v>31</v>
      </c>
      <c r="S9" t="n">
        <v>30</v>
      </c>
      <c r="T9" t="n">
        <v>31</v>
      </c>
      <c r="U9" t="n">
        <v>31</v>
      </c>
      <c r="V9" t="n">
        <v>28</v>
      </c>
      <c r="W9" t="n">
        <v>31</v>
      </c>
      <c r="X9" s="16">
        <f>ROUND(J9/L$1*L9,0)</f>
        <v/>
      </c>
      <c r="Y9" s="14" t="n">
        <v>0</v>
      </c>
      <c r="Z9" s="14">
        <f>+'Income Tax'!F8</f>
        <v/>
      </c>
      <c r="AA9" s="17">
        <f>+X9-Y9</f>
        <v/>
      </c>
      <c r="AB9" s="16">
        <f>ROUND(J9/M$1*M9,0)</f>
        <v/>
      </c>
      <c r="AC9" s="14" t="n"/>
      <c r="AD9" s="14">
        <f>+'Income Tax'!G8</f>
        <v/>
      </c>
      <c r="AE9" s="17">
        <f>+AB9-AC9</f>
        <v/>
      </c>
      <c r="AF9" s="16">
        <f>ROUND(J9/N$1*N9,0)</f>
        <v/>
      </c>
      <c r="AG9" s="14" t="n"/>
      <c r="AH9" s="14">
        <f>+'Income Tax'!H8</f>
        <v/>
      </c>
      <c r="AI9" s="17">
        <f>+AF9-AG9</f>
        <v/>
      </c>
      <c r="AJ9" s="16">
        <f>ROUND(J9/O$1*O9,0)</f>
        <v/>
      </c>
      <c r="AK9" s="14" t="n"/>
      <c r="AL9" s="14">
        <f>+'Income Tax'!I8</f>
        <v/>
      </c>
      <c r="AM9" s="17">
        <f>+AJ9-AK9-AL9-H9</f>
        <v/>
      </c>
    </row>
    <row r="10" hidden="1" ht="14.25" customHeight="1" s="103">
      <c r="A10" s="18" t="inlineStr">
        <is>
          <t>INF0008</t>
        </is>
      </c>
      <c r="B10" s="93" t="inlineStr">
        <is>
          <t>Amit</t>
        </is>
      </c>
      <c r="C10" s="12" t="inlineStr">
        <is>
          <t>Active</t>
        </is>
      </c>
      <c r="D10" s="12" t="inlineStr">
        <is>
          <t>No</t>
        </is>
      </c>
      <c r="E10" s="13" t="n">
        <v>12000</v>
      </c>
      <c r="F10" s="13">
        <f>+E10/2</f>
        <v/>
      </c>
      <c r="G10" s="13">
        <f>+F10</f>
        <v/>
      </c>
      <c r="H10" s="13" t="n">
        <v>0</v>
      </c>
      <c r="I10" s="13">
        <f>+'Income Tax'!F9</f>
        <v/>
      </c>
      <c r="J10" s="21">
        <f>+SUM(E10:H10)</f>
        <v/>
      </c>
      <c r="K10" s="21">
        <f>+(J10/30.5)*SUM(L10:W10)</f>
        <v/>
      </c>
      <c r="L10" s="14" t="n">
        <v>30</v>
      </c>
      <c r="M10" s="14" t="n">
        <v>31</v>
      </c>
      <c r="N10" s="14" t="n">
        <v>30</v>
      </c>
      <c r="O10" s="14" t="n">
        <v>31</v>
      </c>
      <c r="P10" t="n">
        <v>31</v>
      </c>
      <c r="Q10" t="n">
        <v>30</v>
      </c>
      <c r="R10" t="n">
        <v>31</v>
      </c>
      <c r="S10" t="n">
        <v>30</v>
      </c>
      <c r="T10" t="n">
        <v>31</v>
      </c>
      <c r="U10" t="n">
        <v>31</v>
      </c>
      <c r="V10" t="n">
        <v>28</v>
      </c>
      <c r="W10" t="n">
        <v>31</v>
      </c>
      <c r="X10" s="16">
        <f>ROUND(J10/L$1*L10,0)</f>
        <v/>
      </c>
      <c r="Y10" s="14" t="n">
        <v>0</v>
      </c>
      <c r="Z10" s="14">
        <f>+'Income Tax'!F9</f>
        <v/>
      </c>
      <c r="AA10" s="17">
        <f>+X10-Y10</f>
        <v/>
      </c>
      <c r="AB10" s="16">
        <f>ROUND(J10/M$1*M10,0)</f>
        <v/>
      </c>
      <c r="AC10" s="14" t="n">
        <v>10000</v>
      </c>
      <c r="AD10" s="14">
        <f>+'Income Tax'!G9</f>
        <v/>
      </c>
      <c r="AE10" s="17">
        <f>+AB10-AC10</f>
        <v/>
      </c>
      <c r="AF10" s="16">
        <f>ROUND(J10/N$1*N10,0)</f>
        <v/>
      </c>
      <c r="AG10" s="14" t="n"/>
      <c r="AH10" s="14">
        <f>+'Income Tax'!H9</f>
        <v/>
      </c>
      <c r="AI10" s="17">
        <f>+AF10-AG10</f>
        <v/>
      </c>
      <c r="AJ10" s="16">
        <f>ROUND(J10/O$1*O10,0)</f>
        <v/>
      </c>
      <c r="AK10" s="14" t="n"/>
      <c r="AL10" s="14">
        <f>+'Income Tax'!I9</f>
        <v/>
      </c>
      <c r="AM10" s="17">
        <f>+AJ10-AK10-AL10-H10</f>
        <v/>
      </c>
    </row>
    <row r="11" hidden="1" ht="14.25" customHeight="1" s="103">
      <c r="A11" s="18" t="inlineStr">
        <is>
          <t>INF0009</t>
        </is>
      </c>
      <c r="B11" s="18" t="inlineStr">
        <is>
          <t>Adarsh Prasad</t>
        </is>
      </c>
      <c r="C11" s="12" t="inlineStr">
        <is>
          <t>Active</t>
        </is>
      </c>
      <c r="D11" s="12" t="inlineStr">
        <is>
          <t>Yes</t>
        </is>
      </c>
      <c r="E11" s="13" t="n">
        <v>12500</v>
      </c>
      <c r="F11" s="13">
        <f>+E11/2</f>
        <v/>
      </c>
      <c r="G11" s="13">
        <f>+F11-1800</f>
        <v/>
      </c>
      <c r="H11" s="13" t="n">
        <v>1800</v>
      </c>
      <c r="I11" s="13">
        <f>+'Income Tax'!F10</f>
        <v/>
      </c>
      <c r="J11" s="21">
        <f>+SUM(E11:G11)</f>
        <v/>
      </c>
      <c r="K11" s="21">
        <f>+(J11/30.5)*SUM(L11:W11)</f>
        <v/>
      </c>
      <c r="L11" s="14" t="n">
        <v>30</v>
      </c>
      <c r="M11" s="14" t="n">
        <v>31</v>
      </c>
      <c r="N11" s="14" t="n">
        <v>30</v>
      </c>
      <c r="O11" s="14" t="n">
        <v>31</v>
      </c>
      <c r="P11" t="n">
        <v>31</v>
      </c>
      <c r="Q11" t="n">
        <v>30</v>
      </c>
      <c r="R11" t="n">
        <v>31</v>
      </c>
      <c r="S11" t="n">
        <v>30</v>
      </c>
      <c r="T11" t="n">
        <v>31</v>
      </c>
      <c r="U11" t="n">
        <v>31</v>
      </c>
      <c r="V11" t="n">
        <v>28</v>
      </c>
      <c r="W11" t="n">
        <v>31</v>
      </c>
      <c r="X11" s="16">
        <f>ROUND(J11/L$1*L11,0)</f>
        <v/>
      </c>
      <c r="Y11" s="14" t="n">
        <v>0</v>
      </c>
      <c r="Z11" s="14">
        <f>+'Income Tax'!F10</f>
        <v/>
      </c>
      <c r="AA11" s="17">
        <f>+X11-Y11</f>
        <v/>
      </c>
      <c r="AB11" s="16">
        <f>ROUND(J11/M$1*M11,0)</f>
        <v/>
      </c>
      <c r="AC11" s="14" t="n"/>
      <c r="AD11" s="14">
        <f>+'Income Tax'!G10</f>
        <v/>
      </c>
      <c r="AE11" s="17">
        <f>+AB11-AC11</f>
        <v/>
      </c>
      <c r="AF11" s="16">
        <f>ROUND(J11/N$1*N11,0)</f>
        <v/>
      </c>
      <c r="AG11" s="14" t="n"/>
      <c r="AH11" s="14">
        <f>+'Income Tax'!H10</f>
        <v/>
      </c>
      <c r="AI11" s="17">
        <f>+AF11-AG11</f>
        <v/>
      </c>
      <c r="AJ11" s="16">
        <f>ROUND(J11/O$1*O11,0)</f>
        <v/>
      </c>
      <c r="AK11" s="14" t="n"/>
      <c r="AL11" s="14">
        <f>+'Income Tax'!I10</f>
        <v/>
      </c>
      <c r="AM11" s="17">
        <f>+AJ11-AK11-AL11-H11</f>
        <v/>
      </c>
    </row>
    <row r="12" hidden="1" ht="14.25" customHeight="1" s="103">
      <c r="A12" s="18" t="inlineStr">
        <is>
          <t>INF0010</t>
        </is>
      </c>
      <c r="B12" s="18" t="inlineStr">
        <is>
          <t>Vikash Kumar Singh</t>
        </is>
      </c>
      <c r="C12" s="12" t="inlineStr">
        <is>
          <t>Active</t>
        </is>
      </c>
      <c r="D12" s="12" t="inlineStr">
        <is>
          <t>Yes</t>
        </is>
      </c>
      <c r="E12" s="13" t="n">
        <v>17500</v>
      </c>
      <c r="F12" s="13">
        <f>+E12/2</f>
        <v/>
      </c>
      <c r="G12" s="13">
        <f>+F12-1800</f>
        <v/>
      </c>
      <c r="H12" s="13" t="n">
        <v>1800</v>
      </c>
      <c r="I12" s="13">
        <f>+'Income Tax'!F11</f>
        <v/>
      </c>
      <c r="J12" s="21">
        <f>+SUM(E12:G12)</f>
        <v/>
      </c>
      <c r="K12" s="21">
        <f>+(J12/30.5)*SUM(L12:W12)</f>
        <v/>
      </c>
      <c r="L12" s="14" t="n">
        <v>30</v>
      </c>
      <c r="M12" s="14" t="n">
        <v>31</v>
      </c>
      <c r="N12" s="14" t="n">
        <v>30</v>
      </c>
      <c r="O12" s="14" t="n">
        <v>31</v>
      </c>
      <c r="P12" t="n">
        <v>31</v>
      </c>
      <c r="Q12" t="n">
        <v>30</v>
      </c>
      <c r="R12" t="n">
        <v>31</v>
      </c>
      <c r="S12" t="n">
        <v>30</v>
      </c>
      <c r="T12" t="n">
        <v>31</v>
      </c>
      <c r="U12" t="n">
        <v>31</v>
      </c>
      <c r="V12" t="n">
        <v>28</v>
      </c>
      <c r="W12" t="n">
        <v>31</v>
      </c>
      <c r="X12" s="16">
        <f>ROUND(J12/L$1*L12,0)</f>
        <v/>
      </c>
      <c r="Y12" s="14" t="n">
        <v>0</v>
      </c>
      <c r="Z12" s="14">
        <f>+'Income Tax'!F11</f>
        <v/>
      </c>
      <c r="AA12" s="17">
        <f>+X12-Y12</f>
        <v/>
      </c>
      <c r="AB12" s="16">
        <f>ROUND(J12/M$1*M12,0)</f>
        <v/>
      </c>
      <c r="AC12" s="14" t="n"/>
      <c r="AD12" s="14">
        <f>+'Income Tax'!G11</f>
        <v/>
      </c>
      <c r="AE12" s="17">
        <f>+AB12-AC12</f>
        <v/>
      </c>
      <c r="AF12" s="16">
        <f>ROUND(J12/N$1*N12,0)</f>
        <v/>
      </c>
      <c r="AG12" s="14" t="n"/>
      <c r="AH12" s="14">
        <f>+'Income Tax'!H11</f>
        <v/>
      </c>
      <c r="AI12" s="17">
        <f>+AF12-AG12</f>
        <v/>
      </c>
      <c r="AJ12" s="16">
        <f>ROUND(J12/O$1*O12,0)</f>
        <v/>
      </c>
      <c r="AK12" s="14" t="n"/>
      <c r="AL12" s="14">
        <f>+'Income Tax'!I11</f>
        <v/>
      </c>
      <c r="AM12" s="17">
        <f>+AJ12-AK12-AL12-H12</f>
        <v/>
      </c>
    </row>
    <row r="13" hidden="1" ht="14.25" customHeight="1" s="103">
      <c r="A13" s="18" t="inlineStr">
        <is>
          <t>INF0011</t>
        </is>
      </c>
      <c r="B13" s="93" t="inlineStr">
        <is>
          <t>Arjun Kumar</t>
        </is>
      </c>
      <c r="C13" s="12" t="inlineStr">
        <is>
          <t>Active</t>
        </is>
      </c>
      <c r="D13" s="12" t="inlineStr">
        <is>
          <t>No</t>
        </is>
      </c>
      <c r="E13" s="13" t="n">
        <v>7500</v>
      </c>
      <c r="F13" s="13">
        <f>+E13/2</f>
        <v/>
      </c>
      <c r="G13" s="13">
        <f>+F13</f>
        <v/>
      </c>
      <c r="H13" s="13" t="n">
        <v>0</v>
      </c>
      <c r="I13" s="13">
        <f>+'Income Tax'!F12</f>
        <v/>
      </c>
      <c r="J13" s="21">
        <f>+SUM(E13:H13)</f>
        <v/>
      </c>
      <c r="K13" s="21">
        <f>+(J13/30.5)*SUM(L13:W13)</f>
        <v/>
      </c>
      <c r="L13" s="14" t="n">
        <v>30</v>
      </c>
      <c r="M13" s="14" t="n">
        <v>7.5</v>
      </c>
      <c r="N13" s="14" t="n">
        <v>0</v>
      </c>
      <c r="O13" s="14" t="n">
        <v>31</v>
      </c>
      <c r="P13" t="n">
        <v>31</v>
      </c>
      <c r="Q13" t="n">
        <v>30</v>
      </c>
      <c r="R13" t="n">
        <v>31</v>
      </c>
      <c r="S13" t="n">
        <v>30</v>
      </c>
      <c r="T13" t="n">
        <v>31</v>
      </c>
      <c r="U13" t="n">
        <v>31</v>
      </c>
      <c r="V13" t="n">
        <v>28</v>
      </c>
      <c r="W13" t="n">
        <v>31</v>
      </c>
      <c r="X13" s="16">
        <f>ROUND(J13/L$1*L13,0)</f>
        <v/>
      </c>
      <c r="Y13" s="14" t="n">
        <v>0</v>
      </c>
      <c r="Z13" s="14">
        <f>+'Income Tax'!F12</f>
        <v/>
      </c>
      <c r="AA13" s="17">
        <f>+X13-Y13</f>
        <v/>
      </c>
      <c r="AB13" s="16">
        <f>ROUND(J13/M$1*M13,0)</f>
        <v/>
      </c>
      <c r="AC13" s="14" t="n"/>
      <c r="AD13" s="14">
        <f>+'Income Tax'!G12</f>
        <v/>
      </c>
      <c r="AE13" s="17">
        <f>+AB13-AC13</f>
        <v/>
      </c>
      <c r="AF13" s="16">
        <f>ROUND(J13/N$1*N13,0)</f>
        <v/>
      </c>
      <c r="AG13" s="14" t="n"/>
      <c r="AH13" s="14">
        <f>+'Income Tax'!H12</f>
        <v/>
      </c>
      <c r="AI13" s="17">
        <f>+AF13-AG13</f>
        <v/>
      </c>
      <c r="AJ13" s="16">
        <f>ROUND(J13/O$1*O13,0)</f>
        <v/>
      </c>
      <c r="AK13" s="14" t="n"/>
      <c r="AL13" s="14">
        <f>+'Income Tax'!I12</f>
        <v/>
      </c>
      <c r="AM13" s="17">
        <f>+AJ13-AK13-AL13-H13</f>
        <v/>
      </c>
    </row>
    <row r="14" hidden="1" ht="14.25" customHeight="1" s="103">
      <c r="A14" s="18" t="inlineStr">
        <is>
          <t>INF0012</t>
        </is>
      </c>
      <c r="B14" s="18" t="inlineStr">
        <is>
          <t>Naitik Shukla</t>
        </is>
      </c>
      <c r="C14" s="12" t="inlineStr">
        <is>
          <t>Active</t>
        </is>
      </c>
      <c r="D14" s="12" t="inlineStr">
        <is>
          <t>Yes</t>
        </is>
      </c>
      <c r="E14" s="13" t="n">
        <v>12500</v>
      </c>
      <c r="F14" s="13">
        <f>+E14/2</f>
        <v/>
      </c>
      <c r="G14" s="13">
        <f>+F14-1800</f>
        <v/>
      </c>
      <c r="H14" s="13" t="n">
        <v>1800</v>
      </c>
      <c r="I14" s="13">
        <f>+'Income Tax'!F13</f>
        <v/>
      </c>
      <c r="J14" s="21">
        <f>+SUM(E14:G14)</f>
        <v/>
      </c>
      <c r="K14" s="21">
        <f>+(J14/30.5)*SUM(L14:W14)</f>
        <v/>
      </c>
      <c r="L14" s="14" t="n">
        <v>30</v>
      </c>
      <c r="M14" s="14" t="n">
        <v>31</v>
      </c>
      <c r="N14" s="14" t="n">
        <v>30</v>
      </c>
      <c r="O14" s="14" t="n">
        <v>31</v>
      </c>
      <c r="P14" t="n">
        <v>31</v>
      </c>
      <c r="Q14" t="n">
        <v>30</v>
      </c>
      <c r="R14" t="n">
        <v>31</v>
      </c>
      <c r="S14" t="n">
        <v>30</v>
      </c>
      <c r="T14" t="n">
        <v>31</v>
      </c>
      <c r="U14" t="n">
        <v>31</v>
      </c>
      <c r="V14" t="n">
        <v>28</v>
      </c>
      <c r="W14" t="n">
        <v>31</v>
      </c>
      <c r="X14" s="16">
        <f>ROUND(J14/L$1*L14,0)</f>
        <v/>
      </c>
      <c r="Y14" s="14" t="n">
        <v>0</v>
      </c>
      <c r="Z14" s="14">
        <f>+'Income Tax'!F13</f>
        <v/>
      </c>
      <c r="AA14" s="17">
        <f>+X14-Y14</f>
        <v/>
      </c>
      <c r="AB14" s="16">
        <f>ROUND(J14/M$1*M14,0)</f>
        <v/>
      </c>
      <c r="AC14" s="14" t="n"/>
      <c r="AD14" s="14">
        <f>+'Income Tax'!G13</f>
        <v/>
      </c>
      <c r="AE14" s="17">
        <f>+AB14-AC14</f>
        <v/>
      </c>
      <c r="AF14" s="16">
        <f>ROUND(J14/N$1*N14,0)</f>
        <v/>
      </c>
      <c r="AG14" s="14" t="n"/>
      <c r="AH14" s="14">
        <f>+'Income Tax'!H13</f>
        <v/>
      </c>
      <c r="AI14" s="17">
        <f>+AF14-AG14</f>
        <v/>
      </c>
      <c r="AJ14" s="16">
        <f>ROUND(J14/O$1*O14,0)</f>
        <v/>
      </c>
      <c r="AK14" s="14" t="n"/>
      <c r="AL14" s="14">
        <f>+'Income Tax'!I13</f>
        <v/>
      </c>
      <c r="AM14" s="17">
        <f>+AJ14-AK14-AL14-H14</f>
        <v/>
      </c>
    </row>
    <row r="15" hidden="1" ht="14.25" customHeight="1" s="103">
      <c r="A15" s="18" t="inlineStr">
        <is>
          <t>INF0013</t>
        </is>
      </c>
      <c r="B15" s="93" t="inlineStr">
        <is>
          <t>Naresh Rawat</t>
        </is>
      </c>
      <c r="C15" s="12" t="inlineStr">
        <is>
          <t>Active</t>
        </is>
      </c>
      <c r="D15" s="12" t="inlineStr">
        <is>
          <t>No</t>
        </is>
      </c>
      <c r="E15" s="13" t="n">
        <v>5000</v>
      </c>
      <c r="F15" s="13">
        <f>+E15/2</f>
        <v/>
      </c>
      <c r="G15" s="13">
        <f>+F15</f>
        <v/>
      </c>
      <c r="H15" s="13" t="n">
        <v>0</v>
      </c>
      <c r="I15" s="13">
        <f>+'Income Tax'!F14</f>
        <v/>
      </c>
      <c r="J15" s="21">
        <f>+SUM(E15:H15)</f>
        <v/>
      </c>
      <c r="K15" s="21">
        <f>+(J15/30.5)*SUM(L15:W15)</f>
        <v/>
      </c>
      <c r="L15" s="14" t="n">
        <v>30</v>
      </c>
      <c r="M15" s="14" t="n">
        <v>31</v>
      </c>
      <c r="N15" s="14" t="n">
        <v>28</v>
      </c>
      <c r="O15" s="14" t="n">
        <v>31</v>
      </c>
      <c r="P15" t="n">
        <v>31</v>
      </c>
      <c r="Q15" t="n">
        <v>30</v>
      </c>
      <c r="R15" t="n">
        <v>31</v>
      </c>
      <c r="S15" t="n">
        <v>30</v>
      </c>
      <c r="T15" t="n">
        <v>31</v>
      </c>
      <c r="U15" t="n">
        <v>31</v>
      </c>
      <c r="V15" t="n">
        <v>28</v>
      </c>
      <c r="W15" t="n">
        <v>31</v>
      </c>
      <c r="X15" s="16">
        <f>ROUND(J15/L$1*L15,0)</f>
        <v/>
      </c>
      <c r="Y15" s="14" t="n">
        <v>0</v>
      </c>
      <c r="Z15" s="14">
        <f>+'Income Tax'!F14</f>
        <v/>
      </c>
      <c r="AA15" s="17">
        <f>+X15-Y15</f>
        <v/>
      </c>
      <c r="AB15" s="16">
        <f>ROUND(J15/M$1*M15,0)</f>
        <v/>
      </c>
      <c r="AC15" s="14" t="n"/>
      <c r="AD15" s="14">
        <f>+'Income Tax'!G14</f>
        <v/>
      </c>
      <c r="AE15" s="17">
        <f>+AB15-AC15</f>
        <v/>
      </c>
      <c r="AF15" s="16">
        <f>ROUND(J15/N$1*N15,0)</f>
        <v/>
      </c>
      <c r="AG15" s="14" t="n"/>
      <c r="AH15" s="14">
        <f>+'Income Tax'!H14</f>
        <v/>
      </c>
      <c r="AI15" s="17">
        <f>+AF15-AG15</f>
        <v/>
      </c>
      <c r="AJ15" s="16">
        <f>ROUND(J15/O$1*O15,0)</f>
        <v/>
      </c>
      <c r="AK15" s="14" t="n"/>
      <c r="AL15" s="14">
        <f>+'Income Tax'!I14</f>
        <v/>
      </c>
      <c r="AM15" s="17">
        <f>+AJ15-AK15-AL15-H15</f>
        <v/>
      </c>
    </row>
    <row r="16" hidden="1" ht="14.25" customHeight="1" s="103">
      <c r="A16" s="18" t="inlineStr">
        <is>
          <t>INF0014</t>
        </is>
      </c>
      <c r="B16" s="93" t="inlineStr">
        <is>
          <t>Santosh Kumar Upadhayay</t>
        </is>
      </c>
      <c r="C16" s="12" t="inlineStr">
        <is>
          <t>Active</t>
        </is>
      </c>
      <c r="D16" s="12" t="inlineStr">
        <is>
          <t>No</t>
        </is>
      </c>
      <c r="E16" s="13" t="n">
        <v>7500</v>
      </c>
      <c r="F16" s="13">
        <f>+E16/2</f>
        <v/>
      </c>
      <c r="G16" s="13">
        <f>+F16</f>
        <v/>
      </c>
      <c r="H16" s="13" t="n">
        <v>0</v>
      </c>
      <c r="I16" s="13">
        <f>+'Income Tax'!F15</f>
        <v/>
      </c>
      <c r="J16" s="21">
        <f>+SUM(E16:H16)</f>
        <v/>
      </c>
      <c r="K16" s="21">
        <f>+(J16/30.5)*SUM(L16:W16)</f>
        <v/>
      </c>
      <c r="L16" s="14" t="n">
        <v>30</v>
      </c>
      <c r="M16" s="14" t="n">
        <v>30</v>
      </c>
      <c r="N16" s="14" t="n">
        <v>25.5</v>
      </c>
      <c r="O16" s="14" t="n">
        <v>31</v>
      </c>
      <c r="P16" t="n">
        <v>31</v>
      </c>
      <c r="Q16" t="n">
        <v>30</v>
      </c>
      <c r="R16" t="n">
        <v>31</v>
      </c>
      <c r="S16" t="n">
        <v>30</v>
      </c>
      <c r="T16" t="n">
        <v>31</v>
      </c>
      <c r="U16" t="n">
        <v>31</v>
      </c>
      <c r="V16" t="n">
        <v>28</v>
      </c>
      <c r="W16" t="n">
        <v>31</v>
      </c>
      <c r="X16" s="16">
        <f>ROUND(J16/L$1*L16,0)</f>
        <v/>
      </c>
      <c r="Y16" s="14" t="n">
        <v>0</v>
      </c>
      <c r="Z16" s="14">
        <f>+'Income Tax'!F15</f>
        <v/>
      </c>
      <c r="AA16" s="17">
        <f>+X16-Y16</f>
        <v/>
      </c>
      <c r="AB16" s="16">
        <f>ROUND(J16/M$1*M16,0)</f>
        <v/>
      </c>
      <c r="AC16" s="14" t="n"/>
      <c r="AD16" s="14">
        <f>+'Income Tax'!G15</f>
        <v/>
      </c>
      <c r="AE16" s="17">
        <f>+AB16-AC16</f>
        <v/>
      </c>
      <c r="AF16" s="16">
        <f>ROUND(J16/N$1*N16,0)</f>
        <v/>
      </c>
      <c r="AG16" s="14" t="n"/>
      <c r="AH16" s="14">
        <f>+'Income Tax'!H15</f>
        <v/>
      </c>
      <c r="AI16" s="17">
        <f>+AF16-AG16</f>
        <v/>
      </c>
      <c r="AJ16" s="16">
        <f>ROUND(J16/O$1*O16,0)</f>
        <v/>
      </c>
      <c r="AK16" s="14" t="n"/>
      <c r="AL16" s="14">
        <f>+'Income Tax'!I15</f>
        <v/>
      </c>
      <c r="AM16" s="17">
        <f>+AJ16-AK16-AL16-H16</f>
        <v/>
      </c>
    </row>
    <row r="17" hidden="1" ht="14.25" customHeight="1" s="103">
      <c r="A17" s="18" t="inlineStr">
        <is>
          <t>INF0015</t>
        </is>
      </c>
      <c r="B17" s="93" t="inlineStr">
        <is>
          <t>Aman Tiwari</t>
        </is>
      </c>
      <c r="C17" s="12" t="inlineStr">
        <is>
          <t>Active</t>
        </is>
      </c>
      <c r="D17" s="12" t="inlineStr">
        <is>
          <t>No</t>
        </is>
      </c>
      <c r="E17" s="13" t="n">
        <v>8500</v>
      </c>
      <c r="F17" s="13">
        <f>+E17/2</f>
        <v/>
      </c>
      <c r="G17" s="13">
        <f>+F17</f>
        <v/>
      </c>
      <c r="H17" s="13" t="n">
        <v>0</v>
      </c>
      <c r="I17" s="13">
        <f>+'Income Tax'!F16</f>
        <v/>
      </c>
      <c r="J17" s="21">
        <f>+SUM(E17:H17)</f>
        <v/>
      </c>
      <c r="K17" s="21">
        <f>+(J17/30.5)*SUM(L17:W17)</f>
        <v/>
      </c>
      <c r="L17" s="14" t="n">
        <v>30</v>
      </c>
      <c r="M17" s="14" t="n">
        <v>31</v>
      </c>
      <c r="N17" s="14" t="n">
        <v>30</v>
      </c>
      <c r="O17" s="14" t="n">
        <v>31</v>
      </c>
      <c r="P17" t="n">
        <v>31</v>
      </c>
      <c r="Q17" t="n">
        <v>30</v>
      </c>
      <c r="R17" t="n">
        <v>31</v>
      </c>
      <c r="S17" t="n">
        <v>30</v>
      </c>
      <c r="T17" t="n">
        <v>31</v>
      </c>
      <c r="U17" t="n">
        <v>31</v>
      </c>
      <c r="V17" t="n">
        <v>28</v>
      </c>
      <c r="W17" t="n">
        <v>31</v>
      </c>
      <c r="X17" s="16">
        <f>ROUND(J17/L$1*L17,0)</f>
        <v/>
      </c>
      <c r="Y17" s="14" t="n">
        <v>0</v>
      </c>
      <c r="Z17" s="14">
        <f>+'Income Tax'!F16</f>
        <v/>
      </c>
      <c r="AA17" s="17">
        <f>+X17-Y17</f>
        <v/>
      </c>
      <c r="AB17" s="16">
        <f>ROUND(J17/M$1*M17,0)</f>
        <v/>
      </c>
      <c r="AC17" s="14" t="n"/>
      <c r="AD17" s="14">
        <f>+'Income Tax'!G16</f>
        <v/>
      </c>
      <c r="AE17" s="17">
        <f>+AB17-AC17</f>
        <v/>
      </c>
      <c r="AF17" s="16">
        <f>ROUND(J17/N$1*N17,0)</f>
        <v/>
      </c>
      <c r="AG17" s="14" t="n"/>
      <c r="AH17" s="14">
        <f>+'Income Tax'!H16</f>
        <v/>
      </c>
      <c r="AI17" s="17">
        <f>+AF17-AG17</f>
        <v/>
      </c>
      <c r="AJ17" s="16">
        <f>ROUND(J17/O$1*O17,0)</f>
        <v/>
      </c>
      <c r="AK17" s="14" t="n"/>
      <c r="AL17" s="14">
        <f>+'Income Tax'!I16</f>
        <v/>
      </c>
      <c r="AM17" s="17">
        <f>+AJ17-AK17-AL17-H17</f>
        <v/>
      </c>
    </row>
    <row r="18" hidden="1" ht="14.25" customHeight="1" s="103">
      <c r="A18" s="18" t="inlineStr">
        <is>
          <t>INF0016</t>
        </is>
      </c>
      <c r="B18" s="93" t="inlineStr">
        <is>
          <t>Saumya Agrahari</t>
        </is>
      </c>
      <c r="C18" s="12" t="inlineStr">
        <is>
          <t>Active</t>
        </is>
      </c>
      <c r="D18" s="12" t="inlineStr">
        <is>
          <t>No</t>
        </is>
      </c>
      <c r="E18" s="13" t="n">
        <v>4000</v>
      </c>
      <c r="F18" s="13">
        <f>+E18/2</f>
        <v/>
      </c>
      <c r="G18" s="13">
        <f>+F18</f>
        <v/>
      </c>
      <c r="H18" s="13" t="n">
        <v>0</v>
      </c>
      <c r="I18" s="13">
        <f>+'Income Tax'!F17</f>
        <v/>
      </c>
      <c r="J18" s="21">
        <f>+SUM(E18:H18)</f>
        <v/>
      </c>
      <c r="K18" s="21">
        <f>+(J18/30.5)*SUM(L18:W18)</f>
        <v/>
      </c>
      <c r="L18" s="14" t="n">
        <v>30</v>
      </c>
      <c r="M18" s="14" t="n">
        <v>31</v>
      </c>
      <c r="N18" s="14" t="n">
        <v>30</v>
      </c>
      <c r="O18" s="14" t="n">
        <v>31</v>
      </c>
      <c r="P18" t="n">
        <v>31</v>
      </c>
      <c r="Q18" t="n">
        <v>30</v>
      </c>
      <c r="R18" t="n">
        <v>31</v>
      </c>
      <c r="S18" t="n">
        <v>30</v>
      </c>
      <c r="T18" t="n">
        <v>31</v>
      </c>
      <c r="U18" t="n">
        <v>31</v>
      </c>
      <c r="V18" t="n">
        <v>28</v>
      </c>
      <c r="W18" t="n">
        <v>31</v>
      </c>
      <c r="X18" s="16">
        <f>ROUND(J18/L$1*L18,0)</f>
        <v/>
      </c>
      <c r="Y18" s="14" t="n">
        <v>0</v>
      </c>
      <c r="Z18" s="14">
        <f>+'Income Tax'!F17</f>
        <v/>
      </c>
      <c r="AA18" s="17">
        <f>+X18-Y18</f>
        <v/>
      </c>
      <c r="AB18" s="16">
        <f>ROUND(J18/M$1*M18,0)</f>
        <v/>
      </c>
      <c r="AC18" s="14" t="n"/>
      <c r="AD18" s="14">
        <f>+'Income Tax'!G17</f>
        <v/>
      </c>
      <c r="AE18" s="17">
        <f>+AB18-AC18</f>
        <v/>
      </c>
      <c r="AF18" s="16">
        <f>ROUND(J18/N$1*N18,0)</f>
        <v/>
      </c>
      <c r="AG18" s="14" t="n"/>
      <c r="AH18" s="14">
        <f>+'Income Tax'!H17</f>
        <v/>
      </c>
      <c r="AI18" s="17">
        <f>+AF18-AG18</f>
        <v/>
      </c>
      <c r="AJ18" s="16">
        <f>ROUND(J18/O$1*O18,0)</f>
        <v/>
      </c>
      <c r="AK18" s="14" t="n"/>
      <c r="AL18" s="14">
        <f>+'Income Tax'!I17</f>
        <v/>
      </c>
      <c r="AM18" s="17">
        <f>+AJ18-AK18-AL18-H18</f>
        <v/>
      </c>
    </row>
    <row r="19" ht="14.25" customHeight="1" s="103">
      <c r="A19" s="98" t="inlineStr">
        <is>
          <t>INF0017</t>
        </is>
      </c>
      <c r="B19" s="94" t="inlineStr">
        <is>
          <t>VORA VIVEKKUMAR ARVINDBHAI</t>
        </is>
      </c>
      <c r="C19" s="20" t="inlineStr">
        <is>
          <t>Active</t>
        </is>
      </c>
      <c r="D19" s="12" t="inlineStr">
        <is>
          <t>No</t>
        </is>
      </c>
      <c r="E19" s="13" t="n">
        <v>37500</v>
      </c>
      <c r="F19" s="13">
        <f>+E19/2</f>
        <v/>
      </c>
      <c r="G19" s="13">
        <f>+F19</f>
        <v/>
      </c>
      <c r="H19" s="13" t="n">
        <v>0</v>
      </c>
      <c r="I19" s="13">
        <f>+'Income Tax'!F18</f>
        <v/>
      </c>
      <c r="J19" s="21">
        <f>+SUM(E19:H19)</f>
        <v/>
      </c>
      <c r="K19" s="21">
        <f>+(J19/30.5)*SUM(L19:W19)</f>
        <v/>
      </c>
      <c r="L19" s="14" t="n">
        <v>30</v>
      </c>
      <c r="M19" s="14" t="n">
        <v>31</v>
      </c>
      <c r="N19" s="14" t="n">
        <v>30</v>
      </c>
      <c r="O19" s="14" t="n">
        <v>31</v>
      </c>
      <c r="P19" t="n">
        <v>31</v>
      </c>
      <c r="Q19" t="n">
        <v>30</v>
      </c>
      <c r="R19" t="n">
        <v>31</v>
      </c>
      <c r="S19" t="n">
        <v>30</v>
      </c>
      <c r="T19" t="n">
        <v>31</v>
      </c>
      <c r="U19" t="n">
        <v>31</v>
      </c>
      <c r="V19" t="n">
        <v>28</v>
      </c>
      <c r="W19" t="n">
        <v>31</v>
      </c>
      <c r="X19" s="16">
        <f>ROUND(J19/L$1*L19,0)</f>
        <v/>
      </c>
      <c r="Y19" s="14" t="n">
        <v>0</v>
      </c>
      <c r="Z19" s="14">
        <f>+'Income Tax'!F18</f>
        <v/>
      </c>
      <c r="AA19" s="17">
        <f>+X19-Y19</f>
        <v/>
      </c>
      <c r="AB19" s="16">
        <f>ROUND(J19/M$1*M19,0)</f>
        <v/>
      </c>
      <c r="AC19" s="14" t="n"/>
      <c r="AD19" s="14">
        <f>+'Income Tax'!G18</f>
        <v/>
      </c>
      <c r="AE19" s="17">
        <f>+AB19-AC19</f>
        <v/>
      </c>
      <c r="AF19" s="16">
        <f>ROUND(J19/N$1*N19,0)</f>
        <v/>
      </c>
      <c r="AG19" s="14" t="n"/>
      <c r="AH19" s="14">
        <f>+'Income Tax'!H18</f>
        <v/>
      </c>
      <c r="AI19" s="17">
        <f>+AF19-AG19</f>
        <v/>
      </c>
      <c r="AJ19" s="16">
        <f>ROUND(J19/O$1*O19,0)</f>
        <v/>
      </c>
      <c r="AK19" s="14" t="n"/>
      <c r="AL19" s="14">
        <f>+'Income Tax'!I18</f>
        <v/>
      </c>
      <c r="AM19" s="17">
        <f>+AJ19-AK19-AL19-H19</f>
        <v/>
      </c>
      <c r="AP19">
        <f>+VLOOKUP(A19,'Master Data'!$A$18:$D$37,4,0)</f>
        <v/>
      </c>
    </row>
    <row r="20" hidden="1" ht="14.25" customHeight="1" s="103">
      <c r="A20" s="18" t="inlineStr">
        <is>
          <t>INF0018</t>
        </is>
      </c>
      <c r="B20" s="18" t="inlineStr">
        <is>
          <t>Chandan kumar mandal</t>
        </is>
      </c>
      <c r="C20" s="12" t="inlineStr">
        <is>
          <t>Active</t>
        </is>
      </c>
      <c r="D20" s="12" t="inlineStr">
        <is>
          <t>No</t>
        </is>
      </c>
      <c r="E20" s="13" t="n">
        <v>17500</v>
      </c>
      <c r="F20" s="13">
        <f>+E20/2</f>
        <v/>
      </c>
      <c r="G20" s="13">
        <f>+F20</f>
        <v/>
      </c>
      <c r="H20" s="13" t="n">
        <v>0</v>
      </c>
      <c r="I20" s="13">
        <f>+'Income Tax'!F19</f>
        <v/>
      </c>
      <c r="J20" s="21">
        <f>+SUM(E20:H20)</f>
        <v/>
      </c>
      <c r="K20" s="21">
        <f>+(J20/30.5)*SUM(L20:W20)</f>
        <v/>
      </c>
      <c r="L20" s="14" t="n">
        <v>30</v>
      </c>
      <c r="M20" s="14" t="n">
        <v>31</v>
      </c>
      <c r="N20" s="14" t="n">
        <v>30</v>
      </c>
      <c r="O20" s="14" t="n">
        <v>31</v>
      </c>
      <c r="P20" t="n">
        <v>31</v>
      </c>
      <c r="Q20" t="n">
        <v>30</v>
      </c>
      <c r="R20" t="n">
        <v>31</v>
      </c>
      <c r="S20" t="n">
        <v>30</v>
      </c>
      <c r="T20" t="n">
        <v>31</v>
      </c>
      <c r="U20" t="n">
        <v>31</v>
      </c>
      <c r="V20" t="n">
        <v>28</v>
      </c>
      <c r="W20" t="n">
        <v>31</v>
      </c>
      <c r="X20" s="16">
        <f>ROUND(J20/L$1*L20,0)</f>
        <v/>
      </c>
      <c r="Y20" s="14" t="n">
        <v>0</v>
      </c>
      <c r="Z20" s="14">
        <f>+'Income Tax'!F19</f>
        <v/>
      </c>
      <c r="AA20" s="17">
        <f>+X20-Y20</f>
        <v/>
      </c>
      <c r="AB20" s="16">
        <f>ROUND(J20/M$1*M20,0)</f>
        <v/>
      </c>
      <c r="AC20" s="14" t="n"/>
      <c r="AD20" s="14">
        <f>+'Income Tax'!G19</f>
        <v/>
      </c>
      <c r="AE20" s="17">
        <f>+AB20-AC20</f>
        <v/>
      </c>
      <c r="AF20" s="16">
        <f>ROUND(J20/N$1*N20,0)</f>
        <v/>
      </c>
      <c r="AG20" s="14" t="n"/>
      <c r="AH20" s="14">
        <f>+'Income Tax'!H19</f>
        <v/>
      </c>
      <c r="AI20" s="17">
        <f>+AF20-AG20</f>
        <v/>
      </c>
      <c r="AJ20" s="16">
        <f>ROUND(J20/O$1*O20,0)</f>
        <v/>
      </c>
      <c r="AK20" s="14" t="n"/>
      <c r="AL20" s="14">
        <f>+'Income Tax'!I19</f>
        <v/>
      </c>
      <c r="AM20" s="17">
        <f>+AJ20-AK20-AL20-H20</f>
        <v/>
      </c>
    </row>
    <row r="21" ht="14.25" customHeight="1" s="103">
      <c r="A21" s="64" t="inlineStr">
        <is>
          <t>INF0019</t>
        </is>
      </c>
      <c r="B21" s="19" t="inlineStr">
        <is>
          <t>Rishabh Khanna</t>
        </is>
      </c>
      <c r="C21" s="20" t="inlineStr">
        <is>
          <t>Active</t>
        </is>
      </c>
      <c r="D21" s="12" t="inlineStr">
        <is>
          <t>Yes</t>
        </is>
      </c>
      <c r="E21" s="13" t="n">
        <v>41666.5</v>
      </c>
      <c r="F21" s="13">
        <f>+E21/2</f>
        <v/>
      </c>
      <c r="G21" s="13">
        <f>+F21-1800</f>
        <v/>
      </c>
      <c r="H21" s="13" t="n">
        <v>1800</v>
      </c>
      <c r="I21" s="13">
        <f>+'Income Tax'!F20</f>
        <v/>
      </c>
      <c r="J21" s="21">
        <f>+SUM(E21:G21)</f>
        <v/>
      </c>
      <c r="K21" s="21">
        <f>+(J21/30.5)*SUM(L21:W21)</f>
        <v/>
      </c>
      <c r="L21" s="14" t="n">
        <v>30</v>
      </c>
      <c r="M21" s="14" t="n">
        <v>31</v>
      </c>
      <c r="N21" s="14" t="n">
        <v>30</v>
      </c>
      <c r="O21" s="14" t="n">
        <v>31</v>
      </c>
      <c r="P21" t="n">
        <v>31</v>
      </c>
      <c r="Q21" t="n">
        <v>30</v>
      </c>
      <c r="R21" t="n">
        <v>31</v>
      </c>
      <c r="S21" t="n">
        <v>30</v>
      </c>
      <c r="T21" t="n">
        <v>31</v>
      </c>
      <c r="U21" t="n">
        <v>31</v>
      </c>
      <c r="V21" t="n">
        <v>28</v>
      </c>
      <c r="W21" t="n">
        <v>31</v>
      </c>
      <c r="X21" s="16">
        <f>ROUND(J21/L$1*L21,0)</f>
        <v/>
      </c>
      <c r="Y21" s="14" t="n">
        <v>0</v>
      </c>
      <c r="Z21" s="14">
        <f>+'Income Tax'!F20</f>
        <v/>
      </c>
      <c r="AA21" s="17">
        <f>+X21-Y21</f>
        <v/>
      </c>
      <c r="AB21" s="16">
        <f>ROUND(J21/M$1*M21,0)</f>
        <v/>
      </c>
      <c r="AC21" s="14" t="n"/>
      <c r="AD21" s="14">
        <f>+'Income Tax'!G20</f>
        <v/>
      </c>
      <c r="AE21" s="17">
        <f>+AB21-AC21</f>
        <v/>
      </c>
      <c r="AF21" s="16">
        <f>ROUND(J21/N$1*N21,0)</f>
        <v/>
      </c>
      <c r="AG21" s="14" t="n"/>
      <c r="AH21" s="14">
        <f>+'Income Tax'!H20</f>
        <v/>
      </c>
      <c r="AI21" s="17">
        <f>+AF21-AG21</f>
        <v/>
      </c>
      <c r="AJ21" s="16">
        <f>ROUND(J21/O$1*O21,0)</f>
        <v/>
      </c>
      <c r="AK21" s="14" t="n"/>
      <c r="AL21" s="14">
        <f>+'Income Tax'!I20</f>
        <v/>
      </c>
      <c r="AM21" s="17">
        <f>+AJ21-AK21-AL21-H21</f>
        <v/>
      </c>
      <c r="AO21" s="16" t="n"/>
      <c r="AP21">
        <f>+VLOOKUP(A21,'Master Data'!$A$18:$D$37,4,0)</f>
        <v/>
      </c>
    </row>
    <row r="22" ht="14.25" customHeight="1" s="103">
      <c r="A22" s="64" t="inlineStr">
        <is>
          <t>INF0020</t>
        </is>
      </c>
      <c r="B22" s="19" t="inlineStr">
        <is>
          <t>MANOJ KUMAR KASHYAP</t>
        </is>
      </c>
      <c r="C22" s="20" t="inlineStr">
        <is>
          <t>Active</t>
        </is>
      </c>
      <c r="D22" s="12" t="inlineStr">
        <is>
          <t>Yes</t>
        </is>
      </c>
      <c r="E22" s="13" t="n">
        <v>54083</v>
      </c>
      <c r="F22" s="13">
        <f>+E22/2</f>
        <v/>
      </c>
      <c r="G22" s="13">
        <f>+F22-1800</f>
        <v/>
      </c>
      <c r="H22" s="13" t="n">
        <v>1800</v>
      </c>
      <c r="I22" s="13">
        <f>+'Income Tax'!F21</f>
        <v/>
      </c>
      <c r="J22" s="21">
        <f>+SUM(E22:G22)</f>
        <v/>
      </c>
      <c r="K22" s="21">
        <f>+(J22/30.5)*SUM(L22:W22)</f>
        <v/>
      </c>
      <c r="L22" s="14" t="n">
        <v>30</v>
      </c>
      <c r="M22" s="14" t="n">
        <v>31</v>
      </c>
      <c r="N22" s="14" t="n">
        <v>30</v>
      </c>
      <c r="O22" s="14" t="n">
        <v>31</v>
      </c>
      <c r="P22" t="n">
        <v>31</v>
      </c>
      <c r="Q22" t="n">
        <v>30</v>
      </c>
      <c r="R22" t="n">
        <v>31</v>
      </c>
      <c r="S22" t="n">
        <v>30</v>
      </c>
      <c r="T22" t="n">
        <v>31</v>
      </c>
      <c r="U22" t="n">
        <v>31</v>
      </c>
      <c r="V22" t="n">
        <v>28</v>
      </c>
      <c r="W22" t="n">
        <v>31</v>
      </c>
      <c r="X22" s="16">
        <f>ROUND(J22/L$1*L22,0)</f>
        <v/>
      </c>
      <c r="Y22" s="14" t="n">
        <v>0</v>
      </c>
      <c r="Z22" s="14">
        <f>+'Income Tax'!F21</f>
        <v/>
      </c>
      <c r="AA22" s="17">
        <f>+X22-Y22</f>
        <v/>
      </c>
      <c r="AB22" s="16">
        <f>ROUND(J22/M$1*M22,0)</f>
        <v/>
      </c>
      <c r="AC22" s="14" t="n"/>
      <c r="AD22" s="14">
        <f>+'Income Tax'!G21</f>
        <v/>
      </c>
      <c r="AE22" s="17">
        <f>+AB22-AC22</f>
        <v/>
      </c>
      <c r="AF22" s="16">
        <f>ROUND(J22/N$1*N22,0)</f>
        <v/>
      </c>
      <c r="AG22" s="14" t="n"/>
      <c r="AH22" s="14">
        <f>+'Income Tax'!H21</f>
        <v/>
      </c>
      <c r="AI22" s="17">
        <f>+AF22-AG22</f>
        <v/>
      </c>
      <c r="AJ22" s="16">
        <f>ROUND(J22/O$1*O22,0)</f>
        <v/>
      </c>
      <c r="AK22" s="14" t="n"/>
      <c r="AL22" s="14">
        <f>+'Income Tax'!I21</f>
        <v/>
      </c>
      <c r="AM22" s="17">
        <f>+AJ22-AK22-AL22-H22</f>
        <v/>
      </c>
      <c r="AO22" s="16" t="n"/>
      <c r="AP22">
        <f>+VLOOKUP(A22,'Master Data'!$A$18:$D$37,4,0)</f>
        <v/>
      </c>
    </row>
    <row r="23" hidden="1" ht="14.25" customHeight="1" s="103">
      <c r="A23" s="18" t="inlineStr">
        <is>
          <t>INF0021</t>
        </is>
      </c>
      <c r="B23" s="93" t="inlineStr">
        <is>
          <t>Kaushal</t>
        </is>
      </c>
      <c r="C23" s="12" t="inlineStr">
        <is>
          <t>Active</t>
        </is>
      </c>
      <c r="D23" s="12" t="inlineStr">
        <is>
          <t>No</t>
        </is>
      </c>
      <c r="E23" s="13" t="n">
        <v>12500</v>
      </c>
      <c r="F23" s="13">
        <f>+E23/2</f>
        <v/>
      </c>
      <c r="G23" s="13">
        <f>+F23</f>
        <v/>
      </c>
      <c r="H23" s="13" t="n">
        <v>0</v>
      </c>
      <c r="I23" s="13">
        <f>+'Income Tax'!F22</f>
        <v/>
      </c>
      <c r="J23" s="21">
        <f>+SUM(E23:H23)</f>
        <v/>
      </c>
      <c r="K23" s="21">
        <f>+(J23/30.5)*SUM(L23:W23)</f>
        <v/>
      </c>
      <c r="L23" s="14" t="n">
        <v>30</v>
      </c>
      <c r="M23" s="14" t="n">
        <v>31</v>
      </c>
      <c r="N23" s="14" t="n">
        <v>30</v>
      </c>
      <c r="O23" s="14" t="n">
        <v>31</v>
      </c>
      <c r="P23" t="n">
        <v>31</v>
      </c>
      <c r="Q23" t="n">
        <v>30</v>
      </c>
      <c r="R23" t="n">
        <v>31</v>
      </c>
      <c r="S23" t="n">
        <v>30</v>
      </c>
      <c r="T23" t="n">
        <v>31</v>
      </c>
      <c r="U23" t="n">
        <v>31</v>
      </c>
      <c r="V23" t="n">
        <v>28</v>
      </c>
      <c r="W23" t="n">
        <v>31</v>
      </c>
      <c r="X23" s="16">
        <f>ROUND(J23/L$1*L23,0)</f>
        <v/>
      </c>
      <c r="Y23" s="14" t="n">
        <v>0</v>
      </c>
      <c r="Z23" s="14">
        <f>+'Income Tax'!F22</f>
        <v/>
      </c>
      <c r="AA23" s="17">
        <f>+X23-Y23</f>
        <v/>
      </c>
      <c r="AB23" s="16">
        <f>ROUND(J23/M$1*M23,0)</f>
        <v/>
      </c>
      <c r="AC23" s="14" t="n"/>
      <c r="AD23" s="14">
        <f>+'Income Tax'!G22</f>
        <v/>
      </c>
      <c r="AE23" s="17">
        <f>+AB23-AC23</f>
        <v/>
      </c>
      <c r="AF23" s="16">
        <f>ROUND(J23/N$1*N23,0)</f>
        <v/>
      </c>
      <c r="AG23" s="14" t="n"/>
      <c r="AH23" s="14">
        <f>+'Income Tax'!H22</f>
        <v/>
      </c>
      <c r="AI23" s="17">
        <f>+AF23-AG23</f>
        <v/>
      </c>
      <c r="AJ23" s="16">
        <f>ROUND(J23/O$1*O23,0)</f>
        <v/>
      </c>
      <c r="AK23" s="14" t="n"/>
      <c r="AL23" s="14">
        <f>+'Income Tax'!I22</f>
        <v/>
      </c>
      <c r="AM23" s="17">
        <f>+AJ23-AK23-AL23-H23</f>
        <v/>
      </c>
    </row>
    <row r="24" ht="14.25" customHeight="1" s="103">
      <c r="A24" s="64" t="inlineStr">
        <is>
          <t>INF0022</t>
        </is>
      </c>
      <c r="B24" s="19" t="inlineStr">
        <is>
          <t>Vinay Chauhan</t>
        </is>
      </c>
      <c r="C24" s="20" t="inlineStr">
        <is>
          <t>Active</t>
        </is>
      </c>
      <c r="D24" s="12" t="inlineStr">
        <is>
          <t>Yes</t>
        </is>
      </c>
      <c r="E24" s="13" t="n">
        <v>37500</v>
      </c>
      <c r="F24" s="13">
        <f>+E24/2</f>
        <v/>
      </c>
      <c r="G24" s="13">
        <f>+F24-1800</f>
        <v/>
      </c>
      <c r="H24" s="13" t="n">
        <v>1800</v>
      </c>
      <c r="I24" s="13">
        <f>+'Income Tax'!F23</f>
        <v/>
      </c>
      <c r="J24" s="21">
        <f>+SUM(E24:G24)</f>
        <v/>
      </c>
      <c r="K24" s="21">
        <f>+(J24/30.5)*SUM(L24:W24)</f>
        <v/>
      </c>
      <c r="L24" s="14" t="n">
        <v>30</v>
      </c>
      <c r="M24" s="14" t="n">
        <v>31</v>
      </c>
      <c r="N24" s="14" t="n">
        <v>30</v>
      </c>
      <c r="O24" s="14" t="n">
        <v>31</v>
      </c>
      <c r="P24" t="n">
        <v>31</v>
      </c>
      <c r="Q24" t="n">
        <v>30</v>
      </c>
      <c r="R24" t="n">
        <v>31</v>
      </c>
      <c r="S24" t="n">
        <v>30</v>
      </c>
      <c r="T24" t="n">
        <v>31</v>
      </c>
      <c r="U24" t="n">
        <v>31</v>
      </c>
      <c r="V24" t="n">
        <v>28</v>
      </c>
      <c r="W24" t="n">
        <v>31</v>
      </c>
      <c r="X24" s="16">
        <f>ROUND(J24/L$1*L24,0)</f>
        <v/>
      </c>
      <c r="Y24" s="14" t="n">
        <v>0</v>
      </c>
      <c r="Z24" s="14">
        <f>+'Income Tax'!F23</f>
        <v/>
      </c>
      <c r="AA24" s="17">
        <f>+X24-Y24</f>
        <v/>
      </c>
      <c r="AB24" s="16">
        <f>ROUND(J24/M$1*M24,0)</f>
        <v/>
      </c>
      <c r="AC24" s="14" t="n"/>
      <c r="AD24" s="14">
        <f>+'Income Tax'!G23</f>
        <v/>
      </c>
      <c r="AE24" s="17">
        <f>+AB24-AC24</f>
        <v/>
      </c>
      <c r="AF24" s="16">
        <f>ROUND(J24/N$1*N24,0)</f>
        <v/>
      </c>
      <c r="AG24" s="14" t="n"/>
      <c r="AH24" s="14">
        <f>+'Income Tax'!H23</f>
        <v/>
      </c>
      <c r="AI24" s="17">
        <f>+AF24-AG24</f>
        <v/>
      </c>
      <c r="AJ24" s="16">
        <f>ROUND(J24/O$1*O24,0)</f>
        <v/>
      </c>
      <c r="AK24" s="14" t="n"/>
      <c r="AL24" s="14">
        <f>+'Income Tax'!I23</f>
        <v/>
      </c>
      <c r="AM24" s="17">
        <f>+AJ24-AK24-AL24-H24</f>
        <v/>
      </c>
      <c r="AO24" s="16" t="n"/>
      <c r="AP24">
        <f>+VLOOKUP(A24,'Master Data'!$A$18:$D$37,4,0)</f>
        <v/>
      </c>
    </row>
    <row r="25" hidden="1" ht="14.25" customHeight="1" s="103">
      <c r="A25" s="64" t="inlineStr">
        <is>
          <t>INF0023</t>
        </is>
      </c>
      <c r="B25" s="19" t="inlineStr">
        <is>
          <t>Harsh Saliya</t>
        </is>
      </c>
      <c r="C25" s="20" t="inlineStr">
        <is>
          <t>Inactive</t>
        </is>
      </c>
      <c r="D25" s="12" t="inlineStr">
        <is>
          <t>No</t>
        </is>
      </c>
      <c r="E25" s="13" t="n">
        <v>40000</v>
      </c>
      <c r="F25" s="13">
        <f>+E25/2</f>
        <v/>
      </c>
      <c r="G25" s="13">
        <f>+F25</f>
        <v/>
      </c>
      <c r="H25" s="13" t="n">
        <v>0</v>
      </c>
      <c r="I25" s="13">
        <f>+'Income Tax'!F24</f>
        <v/>
      </c>
      <c r="J25" s="21">
        <f>+SUM(E25:H25)</f>
        <v/>
      </c>
      <c r="K25" s="21">
        <f>+(J25/30.5)*SUM(L25:W25)</f>
        <v/>
      </c>
      <c r="L25" s="14" t="n">
        <v>30</v>
      </c>
      <c r="M25" s="14" t="n">
        <v>31</v>
      </c>
      <c r="N25" s="14" t="n">
        <v>0</v>
      </c>
      <c r="O25" s="14" t="n">
        <v>0</v>
      </c>
      <c r="P25" t="n">
        <v>31</v>
      </c>
      <c r="Q25" t="n">
        <v>30</v>
      </c>
      <c r="R25" t="n">
        <v>31</v>
      </c>
      <c r="S25" t="n">
        <v>30</v>
      </c>
      <c r="T25" t="n">
        <v>31</v>
      </c>
      <c r="U25" t="n">
        <v>31</v>
      </c>
      <c r="V25" t="n">
        <v>28</v>
      </c>
      <c r="W25" t="n">
        <v>31</v>
      </c>
      <c r="X25" s="16">
        <f>ROUND(J25/L$1*L25,0)</f>
        <v/>
      </c>
      <c r="Y25" s="14" t="n">
        <v>0</v>
      </c>
      <c r="Z25" s="14">
        <f>+'Income Tax'!F24</f>
        <v/>
      </c>
      <c r="AA25" s="17">
        <f>+X25-Y25</f>
        <v/>
      </c>
      <c r="AB25" s="16">
        <f>ROUND(J25/M$1*M25,0)</f>
        <v/>
      </c>
      <c r="AC25" s="14" t="n"/>
      <c r="AD25" s="14">
        <f>+'Income Tax'!G24</f>
        <v/>
      </c>
      <c r="AE25" s="17">
        <f>+AB25-AC25</f>
        <v/>
      </c>
      <c r="AF25" s="16">
        <f>ROUND(J25/N$1*N25,0)</f>
        <v/>
      </c>
      <c r="AG25" s="14" t="n"/>
      <c r="AH25" s="14">
        <f>+'Income Tax'!H24</f>
        <v/>
      </c>
      <c r="AI25" s="17">
        <f>+AF25-AG25</f>
        <v/>
      </c>
      <c r="AJ25" s="16">
        <f>ROUND(J25/O$1*O25,0)</f>
        <v/>
      </c>
      <c r="AK25" s="14" t="n"/>
      <c r="AL25" s="14">
        <f>+'Income Tax'!I24</f>
        <v/>
      </c>
      <c r="AM25" s="17">
        <f>+AJ25-AK25-AL25-H25</f>
        <v/>
      </c>
    </row>
    <row r="26" hidden="1" ht="14.25" customHeight="1" s="103">
      <c r="A26" s="64" t="inlineStr">
        <is>
          <t>INF0024</t>
        </is>
      </c>
      <c r="B26" s="19" t="inlineStr">
        <is>
          <t>Pankaj kumar</t>
        </is>
      </c>
      <c r="C26" s="20" t="inlineStr">
        <is>
          <t>Inactive</t>
        </is>
      </c>
      <c r="D26" s="12" t="inlineStr">
        <is>
          <t>No</t>
        </is>
      </c>
      <c r="E26" s="13" t="n">
        <v>56150</v>
      </c>
      <c r="F26" s="13">
        <f>+E26/2</f>
        <v/>
      </c>
      <c r="G26" s="13">
        <f>+F26</f>
        <v/>
      </c>
      <c r="H26" s="13" t="n">
        <v>0</v>
      </c>
      <c r="I26" s="13">
        <f>+'Income Tax'!F25</f>
        <v/>
      </c>
      <c r="J26" s="21">
        <f>+SUM(E26:H26)</f>
        <v/>
      </c>
      <c r="K26" s="21">
        <f>+(J26/30.5)*SUM(L26:W26)</f>
        <v/>
      </c>
      <c r="L26" s="14" t="n">
        <v>30</v>
      </c>
      <c r="M26" s="14">
        <f>31-6</f>
        <v/>
      </c>
      <c r="N26" s="14" t="n">
        <v>30</v>
      </c>
      <c r="O26" s="14" t="n">
        <v>0</v>
      </c>
      <c r="P26" t="n">
        <v>31</v>
      </c>
      <c r="Q26" t="n">
        <v>30</v>
      </c>
      <c r="R26" t="n">
        <v>31</v>
      </c>
      <c r="S26" t="n">
        <v>30</v>
      </c>
      <c r="T26" t="n">
        <v>31</v>
      </c>
      <c r="U26" t="n">
        <v>31</v>
      </c>
      <c r="V26" t="n">
        <v>28</v>
      </c>
      <c r="W26" t="n">
        <v>31</v>
      </c>
      <c r="X26" s="16">
        <f>ROUND(J26/L$1*L26,0)</f>
        <v/>
      </c>
      <c r="Y26" s="14" t="n">
        <v>0</v>
      </c>
      <c r="Z26" s="14">
        <f>+'Income Tax'!F25</f>
        <v/>
      </c>
      <c r="AA26" s="17">
        <f>+X26-Y26</f>
        <v/>
      </c>
      <c r="AB26" s="16">
        <f>ROUND(J26/M$1*M26,0)</f>
        <v/>
      </c>
      <c r="AC26" s="14" t="n"/>
      <c r="AD26" s="14">
        <f>+'Income Tax'!G25</f>
        <v/>
      </c>
      <c r="AE26" s="17">
        <f>+AB26-AC26</f>
        <v/>
      </c>
      <c r="AF26" s="16">
        <f>ROUND(J26/N$1*N26,0)</f>
        <v/>
      </c>
      <c r="AG26" s="14" t="n"/>
      <c r="AH26" s="14">
        <f>+'Income Tax'!H25</f>
        <v/>
      </c>
      <c r="AI26" s="17">
        <f>+AF26-AG26</f>
        <v/>
      </c>
      <c r="AJ26" s="16">
        <f>ROUND(J26/O$1*O26,0)</f>
        <v/>
      </c>
      <c r="AK26" s="14" t="n"/>
      <c r="AL26" s="14">
        <f>+'Income Tax'!I25</f>
        <v/>
      </c>
      <c r="AM26" s="17">
        <f>+AJ26-AK26-AL26-H26</f>
        <v/>
      </c>
    </row>
    <row r="27" hidden="1" ht="14.25" customHeight="1" s="103">
      <c r="A27" s="18" t="inlineStr">
        <is>
          <t>INF0025</t>
        </is>
      </c>
      <c r="B27" s="18" t="inlineStr">
        <is>
          <t>Antama</t>
        </is>
      </c>
      <c r="C27" s="12" t="inlineStr">
        <is>
          <t>Active</t>
        </is>
      </c>
      <c r="D27" s="12" t="inlineStr">
        <is>
          <t>Yes</t>
        </is>
      </c>
      <c r="E27" s="13" t="n">
        <v>7500</v>
      </c>
      <c r="F27" s="13">
        <f>+E27/2</f>
        <v/>
      </c>
      <c r="G27" s="13">
        <f>+F27-1800</f>
        <v/>
      </c>
      <c r="H27" s="13" t="n">
        <v>1800</v>
      </c>
      <c r="I27" s="13">
        <f>+'Income Tax'!F26</f>
        <v/>
      </c>
      <c r="J27" s="21">
        <f>+SUM(E27:G27)</f>
        <v/>
      </c>
      <c r="K27" s="21">
        <f>+(J27/30.5)*SUM(L27:W27)</f>
        <v/>
      </c>
      <c r="L27" s="14" t="n">
        <v>30</v>
      </c>
      <c r="M27" s="14" t="n">
        <v>31</v>
      </c>
      <c r="N27" s="14" t="n">
        <v>29</v>
      </c>
      <c r="O27" s="14" t="n">
        <v>31</v>
      </c>
      <c r="P27" t="n">
        <v>31</v>
      </c>
      <c r="Q27" t="n">
        <v>30</v>
      </c>
      <c r="R27" t="n">
        <v>31</v>
      </c>
      <c r="S27" t="n">
        <v>30</v>
      </c>
      <c r="T27" t="n">
        <v>31</v>
      </c>
      <c r="U27" t="n">
        <v>31</v>
      </c>
      <c r="V27" t="n">
        <v>28</v>
      </c>
      <c r="W27" t="n">
        <v>31</v>
      </c>
      <c r="X27" s="16">
        <f>ROUND(J27/L$1*L27,0)</f>
        <v/>
      </c>
      <c r="Y27" s="14" t="n">
        <v>0</v>
      </c>
      <c r="Z27" s="14">
        <f>+'Income Tax'!F26</f>
        <v/>
      </c>
      <c r="AA27" s="17">
        <f>+X27-Y27</f>
        <v/>
      </c>
      <c r="AB27" s="16">
        <f>ROUND(J27/M$1*M27,0)</f>
        <v/>
      </c>
      <c r="AC27" s="14" t="n"/>
      <c r="AD27" s="14">
        <f>+'Income Tax'!G26</f>
        <v/>
      </c>
      <c r="AE27" s="17">
        <f>+AB27-AC27</f>
        <v/>
      </c>
      <c r="AF27" s="16">
        <f>ROUND(J27/N$1*N27,0)</f>
        <v/>
      </c>
      <c r="AG27" s="14" t="n"/>
      <c r="AH27" s="14">
        <f>+'Income Tax'!H26</f>
        <v/>
      </c>
      <c r="AI27" s="17">
        <f>+AF27-AG27</f>
        <v/>
      </c>
      <c r="AJ27" s="16">
        <f>ROUND(J27/O$1*O27,0)</f>
        <v/>
      </c>
      <c r="AK27" s="14" t="n"/>
      <c r="AL27" s="14">
        <f>+'Income Tax'!I26</f>
        <v/>
      </c>
      <c r="AM27" s="17">
        <f>+AJ27-AK27-AL27-H27</f>
        <v/>
      </c>
    </row>
    <row r="28" ht="14.25" customHeight="1" s="103">
      <c r="A28" s="64" t="inlineStr">
        <is>
          <t>INF0026</t>
        </is>
      </c>
      <c r="B28" s="95" t="inlineStr">
        <is>
          <t>Dhruva Pathak</t>
        </is>
      </c>
      <c r="C28" s="20" t="inlineStr">
        <is>
          <t>Active</t>
        </is>
      </c>
      <c r="D28" s="12" t="inlineStr">
        <is>
          <t>No</t>
        </is>
      </c>
      <c r="E28" s="13" t="n">
        <v>35000</v>
      </c>
      <c r="F28" s="13">
        <f>+E28/2</f>
        <v/>
      </c>
      <c r="G28" s="13">
        <f>+F28</f>
        <v/>
      </c>
      <c r="H28" s="13" t="n">
        <v>0</v>
      </c>
      <c r="I28" s="13">
        <f>+'Income Tax'!F27</f>
        <v/>
      </c>
      <c r="J28" s="21">
        <f>+SUM(E28:H28)</f>
        <v/>
      </c>
      <c r="K28" s="21">
        <f>+(J28/30.5)*SUM(L28:W28)</f>
        <v/>
      </c>
      <c r="L28" s="14" t="n">
        <v>30</v>
      </c>
      <c r="M28" s="14" t="n">
        <v>31</v>
      </c>
      <c r="N28" s="14" t="n">
        <v>30</v>
      </c>
      <c r="O28" s="14" t="n">
        <v>31</v>
      </c>
      <c r="P28" t="n">
        <v>31</v>
      </c>
      <c r="Q28" t="n">
        <v>30</v>
      </c>
      <c r="R28" t="n">
        <v>31</v>
      </c>
      <c r="S28" t="n">
        <v>30</v>
      </c>
      <c r="T28" t="n">
        <v>31</v>
      </c>
      <c r="U28" t="n">
        <v>31</v>
      </c>
      <c r="V28" t="n">
        <v>28</v>
      </c>
      <c r="W28" t="n">
        <v>31</v>
      </c>
      <c r="X28" s="16">
        <f>ROUND(J28/L$1*L28,0)</f>
        <v/>
      </c>
      <c r="Y28" s="14" t="n">
        <v>0</v>
      </c>
      <c r="Z28" s="14">
        <f>+'Income Tax'!F27</f>
        <v/>
      </c>
      <c r="AA28" s="17">
        <f>+X28-Y28</f>
        <v/>
      </c>
      <c r="AB28" s="16">
        <f>ROUND(J28/M$1*M28,0)</f>
        <v/>
      </c>
      <c r="AC28" s="14" t="n"/>
      <c r="AD28" s="14">
        <f>+'Income Tax'!G27</f>
        <v/>
      </c>
      <c r="AE28" s="17">
        <f>+AB28-AC28</f>
        <v/>
      </c>
      <c r="AF28" s="16">
        <f>ROUND(J28/N$1*N28,0)</f>
        <v/>
      </c>
      <c r="AG28" s="14" t="n"/>
      <c r="AH28" s="14">
        <f>+'Income Tax'!H27</f>
        <v/>
      </c>
      <c r="AI28" s="17">
        <f>+AF28-AG28</f>
        <v/>
      </c>
      <c r="AJ28" s="16">
        <f>ROUND(J28/O$1*O28,0)</f>
        <v/>
      </c>
      <c r="AK28" s="14" t="n"/>
      <c r="AL28" s="14">
        <f>+'Income Tax'!I27</f>
        <v/>
      </c>
      <c r="AM28" s="17">
        <f>+AJ28-AK28-AL28-H28</f>
        <v/>
      </c>
      <c r="AP28">
        <f>+VLOOKUP(A28,'Master Data'!$A$18:$D$37,4,0)</f>
        <v/>
      </c>
    </row>
    <row r="29" ht="14.25" customHeight="1" s="103">
      <c r="A29" s="64" t="inlineStr">
        <is>
          <t>INF0027</t>
        </is>
      </c>
      <c r="B29" s="19" t="inlineStr">
        <is>
          <t>Gulam Waris</t>
        </is>
      </c>
      <c r="C29" s="20" t="inlineStr">
        <is>
          <t>Active</t>
        </is>
      </c>
      <c r="D29" s="12" t="inlineStr">
        <is>
          <t>Yes</t>
        </is>
      </c>
      <c r="E29" s="13" t="n">
        <v>35000</v>
      </c>
      <c r="F29" s="13">
        <f>+E29/2</f>
        <v/>
      </c>
      <c r="G29" s="13">
        <f>+F29-1800</f>
        <v/>
      </c>
      <c r="H29" s="13" t="n">
        <v>1800</v>
      </c>
      <c r="I29" s="13">
        <f>+'Income Tax'!F28</f>
        <v/>
      </c>
      <c r="J29" s="21">
        <f>+SUM(E29:G29)</f>
        <v/>
      </c>
      <c r="K29" s="21">
        <f>+(J29/30.5)*SUM(L29:W29)</f>
        <v/>
      </c>
      <c r="L29" s="14" t="n">
        <v>30</v>
      </c>
      <c r="M29" s="14" t="n">
        <v>31</v>
      </c>
      <c r="N29" s="14" t="n">
        <v>30</v>
      </c>
      <c r="O29" s="14" t="n">
        <v>30</v>
      </c>
      <c r="P29" t="n">
        <v>31</v>
      </c>
      <c r="Q29" t="n">
        <v>30</v>
      </c>
      <c r="R29" t="n">
        <v>31</v>
      </c>
      <c r="S29" t="n">
        <v>30</v>
      </c>
      <c r="T29" t="n">
        <v>31</v>
      </c>
      <c r="U29" t="n">
        <v>31</v>
      </c>
      <c r="V29" t="n">
        <v>28</v>
      </c>
      <c r="W29" t="n">
        <v>31</v>
      </c>
      <c r="X29" s="16">
        <f>ROUND(J29/L$1*L29,0)</f>
        <v/>
      </c>
      <c r="Y29" s="14" t="n">
        <v>0</v>
      </c>
      <c r="Z29" s="14">
        <f>+'Income Tax'!F28</f>
        <v/>
      </c>
      <c r="AA29" s="17">
        <f>+X29-Y29</f>
        <v/>
      </c>
      <c r="AB29" s="16">
        <f>ROUND(J29/M$1*M29,0)</f>
        <v/>
      </c>
      <c r="AC29" s="14" t="n"/>
      <c r="AD29" s="14">
        <f>+'Income Tax'!G28</f>
        <v/>
      </c>
      <c r="AE29" s="17">
        <f>+AB29-AC29</f>
        <v/>
      </c>
      <c r="AF29" s="16">
        <f>ROUND(J29/N$1*N29,0)</f>
        <v/>
      </c>
      <c r="AG29" s="14" t="n"/>
      <c r="AH29" s="14">
        <f>+'Income Tax'!H28</f>
        <v/>
      </c>
      <c r="AI29" s="17">
        <f>+AF29-AG29</f>
        <v/>
      </c>
      <c r="AJ29" s="16">
        <f>ROUND(J29/O$1*O29,0)</f>
        <v/>
      </c>
      <c r="AK29" s="14" t="n"/>
      <c r="AL29" s="14">
        <f>+'Income Tax'!I28</f>
        <v/>
      </c>
      <c r="AM29" s="17">
        <f>+AJ29-AK29-AL29-H29</f>
        <v/>
      </c>
      <c r="AP29">
        <f>+VLOOKUP(A29,'Master Data'!$A$18:$D$37,4,0)</f>
        <v/>
      </c>
    </row>
    <row r="30" hidden="1" ht="14.25" customHeight="1" s="103">
      <c r="A30" s="18" t="inlineStr">
        <is>
          <t>INF0029</t>
        </is>
      </c>
      <c r="B30" s="18" t="inlineStr">
        <is>
          <t>Shankar Kumar Das</t>
        </is>
      </c>
      <c r="C30" s="12" t="inlineStr">
        <is>
          <t>Active</t>
        </is>
      </c>
      <c r="D30" s="12" t="inlineStr">
        <is>
          <t>No</t>
        </is>
      </c>
      <c r="E30" s="13" t="n">
        <v>17500</v>
      </c>
      <c r="F30" s="13">
        <f>+E30/2</f>
        <v/>
      </c>
      <c r="G30" s="13">
        <f>+F30</f>
        <v/>
      </c>
      <c r="H30" s="13" t="n">
        <v>0</v>
      </c>
      <c r="I30" s="13">
        <f>+'Income Tax'!F29</f>
        <v/>
      </c>
      <c r="J30" s="21">
        <f>+SUM(E30:H30)</f>
        <v/>
      </c>
      <c r="K30" s="21">
        <f>+(J30/30.5)*SUM(L30:W30)</f>
        <v/>
      </c>
      <c r="L30" s="14" t="n">
        <v>30</v>
      </c>
      <c r="M30" s="14" t="n">
        <v>23</v>
      </c>
      <c r="N30" s="14" t="n">
        <v>30</v>
      </c>
      <c r="O30" s="14" t="n">
        <v>31</v>
      </c>
      <c r="P30" t="n">
        <v>31</v>
      </c>
      <c r="Q30" t="n">
        <v>30</v>
      </c>
      <c r="R30" t="n">
        <v>31</v>
      </c>
      <c r="S30" t="n">
        <v>30</v>
      </c>
      <c r="T30" t="n">
        <v>31</v>
      </c>
      <c r="U30" t="n">
        <v>31</v>
      </c>
      <c r="V30" t="n">
        <v>28</v>
      </c>
      <c r="W30" t="n">
        <v>31</v>
      </c>
      <c r="X30" s="16">
        <f>ROUND(J30/L$1*L30,0)</f>
        <v/>
      </c>
      <c r="Y30" s="14" t="n">
        <v>0</v>
      </c>
      <c r="Z30" s="14">
        <f>+'Income Tax'!F29</f>
        <v/>
      </c>
      <c r="AA30" s="17">
        <f>+X30-Y30</f>
        <v/>
      </c>
      <c r="AB30" s="16">
        <f>ROUND(J30/M$1*M30,0)</f>
        <v/>
      </c>
      <c r="AC30" s="14" t="n">
        <v>10000</v>
      </c>
      <c r="AD30" s="14">
        <f>+'Income Tax'!G29</f>
        <v/>
      </c>
      <c r="AE30" s="17">
        <f>+AB30-AC30</f>
        <v/>
      </c>
      <c r="AF30" s="16">
        <f>ROUND(J30/N$1*N30,0)</f>
        <v/>
      </c>
      <c r="AG30" s="14" t="n"/>
      <c r="AH30" s="14">
        <f>+'Income Tax'!H29</f>
        <v/>
      </c>
      <c r="AI30" s="17">
        <f>+AF30-AG30</f>
        <v/>
      </c>
      <c r="AJ30" s="16">
        <f>ROUND(J30/O$1*O30,0)</f>
        <v/>
      </c>
      <c r="AK30" s="14" t="n"/>
      <c r="AL30" s="14">
        <f>+'Income Tax'!I29</f>
        <v/>
      </c>
      <c r="AM30" s="17">
        <f>+AJ30-AK30-AL30-H30</f>
        <v/>
      </c>
    </row>
    <row r="31" hidden="1" ht="14.25" customHeight="1" s="103">
      <c r="A31" s="99" t="inlineStr">
        <is>
          <t>INF0028</t>
        </is>
      </c>
      <c r="B31" s="77" t="inlineStr">
        <is>
          <t>Ashutosh Kumar Pandey</t>
        </is>
      </c>
      <c r="C31" s="20" t="inlineStr">
        <is>
          <t>Inactive</t>
        </is>
      </c>
      <c r="D31" s="12" t="inlineStr">
        <is>
          <t>No</t>
        </is>
      </c>
      <c r="E31" s="13" t="n">
        <v>57037.5</v>
      </c>
      <c r="F31" s="13">
        <f>+E31/2</f>
        <v/>
      </c>
      <c r="G31" s="13">
        <f>+F31</f>
        <v/>
      </c>
      <c r="H31" s="13" t="n">
        <v>0</v>
      </c>
      <c r="I31" s="13">
        <f>+'Income Tax'!F30</f>
        <v/>
      </c>
      <c r="J31" s="21">
        <f>+SUM(E31:H31)</f>
        <v/>
      </c>
      <c r="K31" s="21">
        <f>+(J31/30.5)*SUM(L31:W31)</f>
        <v/>
      </c>
      <c r="L31" s="78" t="n">
        <v>30</v>
      </c>
      <c r="M31" s="78" t="n">
        <v>31</v>
      </c>
      <c r="N31" s="78" t="n">
        <v>0</v>
      </c>
      <c r="O31" s="14" t="n">
        <v>0</v>
      </c>
      <c r="P31" t="n">
        <v>31</v>
      </c>
      <c r="Q31" t="n">
        <v>30</v>
      </c>
      <c r="R31" t="n">
        <v>31</v>
      </c>
      <c r="S31" t="n">
        <v>30</v>
      </c>
      <c r="T31" t="n">
        <v>31</v>
      </c>
      <c r="U31" t="n">
        <v>31</v>
      </c>
      <c r="V31" t="n">
        <v>28</v>
      </c>
      <c r="W31" t="n">
        <v>31</v>
      </c>
      <c r="X31" s="16">
        <f>ROUND(J31/L$1*L31,0)</f>
        <v/>
      </c>
      <c r="Y31" s="14" t="n"/>
      <c r="Z31" s="14">
        <f>+'Income Tax'!F30</f>
        <v/>
      </c>
      <c r="AA31" s="17">
        <f>+X31-Y31</f>
        <v/>
      </c>
      <c r="AB31" s="16">
        <f>ROUND(J31/M$1*M31,0)</f>
        <v/>
      </c>
      <c r="AC31" s="14" t="n"/>
      <c r="AD31" s="14">
        <f>+'Income Tax'!G30</f>
        <v/>
      </c>
      <c r="AE31" s="17">
        <f>+AB31-AC31</f>
        <v/>
      </c>
      <c r="AF31" s="16">
        <f>ROUND(J31/N$1*N31,0)</f>
        <v/>
      </c>
      <c r="AG31" s="78" t="n"/>
      <c r="AH31" s="14">
        <f>+'Income Tax'!H30</f>
        <v/>
      </c>
      <c r="AI31" s="79">
        <f>+AF31-AG31</f>
        <v/>
      </c>
      <c r="AJ31" s="16">
        <f>ROUND(J31/O$1*O31,0)</f>
        <v/>
      </c>
      <c r="AK31" s="78" t="n"/>
      <c r="AL31" s="14">
        <f>+'Income Tax'!I30</f>
        <v/>
      </c>
      <c r="AM31" s="17">
        <f>+AJ31-AK31-AL31-H31</f>
        <v/>
      </c>
    </row>
    <row r="32" ht="14.25" customHeight="1" s="103">
      <c r="A32" s="64" t="inlineStr">
        <is>
          <t>INF0030</t>
        </is>
      </c>
      <c r="B32" s="95" t="inlineStr">
        <is>
          <t>Hari Shankar Mishra</t>
        </is>
      </c>
      <c r="C32" s="20" t="inlineStr">
        <is>
          <t>Active</t>
        </is>
      </c>
      <c r="D32" s="12" t="inlineStr">
        <is>
          <t>No</t>
        </is>
      </c>
      <c r="E32" s="13" t="n">
        <v>22500</v>
      </c>
      <c r="F32" s="13">
        <f>+E32/2</f>
        <v/>
      </c>
      <c r="G32" s="74">
        <f>+F32</f>
        <v/>
      </c>
      <c r="H32" s="13" t="n">
        <v>0</v>
      </c>
      <c r="I32" s="13">
        <f>+'Income Tax'!F31</f>
        <v/>
      </c>
      <c r="J32" s="21">
        <f>+SUM(E32:H32)</f>
        <v/>
      </c>
      <c r="K32" s="21">
        <f>+(J32/30.5)*SUM(L32:W32)</f>
        <v/>
      </c>
      <c r="L32" s="14" t="n">
        <v>0</v>
      </c>
      <c r="M32" s="14" t="n">
        <v>7</v>
      </c>
      <c r="N32" s="14" t="n">
        <v>30</v>
      </c>
      <c r="O32" s="14" t="n">
        <v>31</v>
      </c>
      <c r="P32" t="n">
        <v>31</v>
      </c>
      <c r="Q32" t="n">
        <v>30</v>
      </c>
      <c r="R32" t="n">
        <v>31</v>
      </c>
      <c r="S32" t="n">
        <v>30</v>
      </c>
      <c r="T32" t="n">
        <v>31</v>
      </c>
      <c r="U32" t="n">
        <v>31</v>
      </c>
      <c r="V32" t="n">
        <v>28</v>
      </c>
      <c r="W32" t="n">
        <v>31</v>
      </c>
      <c r="X32" s="16">
        <f>ROUND(J32/L$1*L32,0)</f>
        <v/>
      </c>
      <c r="Y32" s="14" t="n"/>
      <c r="Z32" s="14">
        <f>+'Income Tax'!F31</f>
        <v/>
      </c>
      <c r="AA32" s="17">
        <f>+X32-Y32</f>
        <v/>
      </c>
      <c r="AB32" s="16">
        <f>ROUND(J32/M$1*M32,0)</f>
        <v/>
      </c>
      <c r="AC32" s="14" t="n"/>
      <c r="AD32" s="14">
        <f>+'Income Tax'!G31</f>
        <v/>
      </c>
      <c r="AE32" s="75">
        <f>+AB32-AC32</f>
        <v/>
      </c>
      <c r="AF32" s="17">
        <f>ROUND(J32/N$1*N32,0)</f>
        <v/>
      </c>
      <c r="AG32" s="14" t="n"/>
      <c r="AH32" s="14">
        <f>+'Income Tax'!H31</f>
        <v/>
      </c>
      <c r="AI32" s="17">
        <f>+AF32-AG32</f>
        <v/>
      </c>
      <c r="AJ32" s="16">
        <f>ROUND(J32/O$1*O32,0)</f>
        <v/>
      </c>
      <c r="AK32" s="14" t="n"/>
      <c r="AL32" s="14">
        <f>+'Income Tax'!I31</f>
        <v/>
      </c>
      <c r="AM32" s="17">
        <f>+AJ32-AK32-AL32-H32</f>
        <v/>
      </c>
      <c r="AP32">
        <f>+VLOOKUP(A32,'Master Data'!$A$18:$D$37,4,0)</f>
        <v/>
      </c>
    </row>
    <row r="33" hidden="1" s="103">
      <c r="A33" s="18" t="inlineStr">
        <is>
          <t>INF0031</t>
        </is>
      </c>
      <c r="B33" s="93" t="inlineStr">
        <is>
          <t>SUDHANSHU KUMAR RATURI</t>
        </is>
      </c>
      <c r="C33" s="12" t="inlineStr">
        <is>
          <t>Active</t>
        </is>
      </c>
      <c r="D33" s="12" t="inlineStr">
        <is>
          <t>No</t>
        </is>
      </c>
      <c r="E33" s="13" t="n">
        <v>7500</v>
      </c>
      <c r="F33" s="13">
        <f>+E33/2</f>
        <v/>
      </c>
      <c r="G33" s="74">
        <f>+F33</f>
        <v/>
      </c>
      <c r="H33" s="13" t="n">
        <v>0</v>
      </c>
      <c r="I33" s="13">
        <f>+'Income Tax'!F32</f>
        <v/>
      </c>
      <c r="J33" s="21">
        <f>+SUM(E33:H33)</f>
        <v/>
      </c>
      <c r="K33" s="21">
        <f>+(J33/30.5)*SUM(L33:W33)</f>
        <v/>
      </c>
      <c r="L33" s="14" t="n">
        <v>0</v>
      </c>
      <c r="M33" s="14" t="n">
        <v>0</v>
      </c>
      <c r="N33" s="14" t="n">
        <v>9</v>
      </c>
      <c r="O33" s="14" t="n">
        <v>31</v>
      </c>
      <c r="P33" t="n">
        <v>31</v>
      </c>
      <c r="Q33" t="n">
        <v>30</v>
      </c>
      <c r="R33" t="n">
        <v>31</v>
      </c>
      <c r="S33" t="n">
        <v>30</v>
      </c>
      <c r="T33" t="n">
        <v>31</v>
      </c>
      <c r="U33" t="n">
        <v>31</v>
      </c>
      <c r="V33" t="n">
        <v>28</v>
      </c>
      <c r="W33" t="n">
        <v>31</v>
      </c>
      <c r="X33" s="16">
        <f>ROUND(J33/L$1*L33,0)</f>
        <v/>
      </c>
      <c r="Y33" s="14" t="n"/>
      <c r="Z33" s="14">
        <f>+'Income Tax'!F32</f>
        <v/>
      </c>
      <c r="AA33" s="17">
        <f>+X33-Y33</f>
        <v/>
      </c>
      <c r="AB33" s="16">
        <f>ROUND(J33/M$1*M33,0)</f>
        <v/>
      </c>
      <c r="AC33" s="14" t="n"/>
      <c r="AD33" s="14">
        <f>+'Income Tax'!G32</f>
        <v/>
      </c>
      <c r="AE33" s="75">
        <f>+AB33-AC33</f>
        <v/>
      </c>
      <c r="AF33" s="17">
        <f>ROUND(J33/N$1*N33,0)</f>
        <v/>
      </c>
      <c r="AG33" s="14" t="n"/>
      <c r="AH33" s="14">
        <f>+'Income Tax'!H32</f>
        <v/>
      </c>
      <c r="AI33" s="17">
        <f>+AF33-AG33</f>
        <v/>
      </c>
      <c r="AJ33" s="16">
        <f>ROUND(J33/O$1*O33,0)</f>
        <v/>
      </c>
      <c r="AK33" s="14" t="n"/>
      <c r="AL33" s="14">
        <f>+'Income Tax'!I32</f>
        <v/>
      </c>
      <c r="AM33" s="17">
        <f>+AJ33-AK33-AL33-H33</f>
        <v/>
      </c>
    </row>
    <row r="34">
      <c r="A34" s="64" t="inlineStr">
        <is>
          <t>INF0032</t>
        </is>
      </c>
      <c r="B34" s="19" t="inlineStr">
        <is>
          <t>Shivam Vashishtha</t>
        </is>
      </c>
      <c r="C34" s="20" t="inlineStr">
        <is>
          <t>Active</t>
        </is>
      </c>
      <c r="D34" s="12" t="inlineStr">
        <is>
          <t>Yes</t>
        </is>
      </c>
      <c r="E34" s="13" t="n">
        <v>50000</v>
      </c>
      <c r="F34" s="13">
        <f>+E34/2</f>
        <v/>
      </c>
      <c r="G34" s="13">
        <f>+F34-1800</f>
        <v/>
      </c>
      <c r="H34" s="13" t="n">
        <v>1800</v>
      </c>
      <c r="I34" s="13">
        <f>+'Income Tax'!F33</f>
        <v/>
      </c>
      <c r="J34" s="21">
        <f>+SUM(E34:G34)</f>
        <v/>
      </c>
      <c r="K34" s="21">
        <f>+(J34/30.5)*SUM(L34:W34)</f>
        <v/>
      </c>
      <c r="L34" s="14" t="n">
        <v>0</v>
      </c>
      <c r="M34" s="14" t="n">
        <v>0</v>
      </c>
      <c r="N34" s="14" t="n">
        <v>28</v>
      </c>
      <c r="O34" s="14" t="n">
        <v>31</v>
      </c>
      <c r="P34" t="n">
        <v>31</v>
      </c>
      <c r="Q34" t="n">
        <v>30</v>
      </c>
      <c r="R34" t="n">
        <v>31</v>
      </c>
      <c r="S34" t="n">
        <v>30</v>
      </c>
      <c r="T34" t="n">
        <v>31</v>
      </c>
      <c r="U34" t="n">
        <v>31</v>
      </c>
      <c r="V34" t="n">
        <v>28</v>
      </c>
      <c r="W34" t="n">
        <v>31</v>
      </c>
      <c r="X34" s="16">
        <f>ROUND(J34/L$1*L34,0)</f>
        <v/>
      </c>
      <c r="Y34" s="14" t="n"/>
      <c r="Z34" s="14">
        <f>+'Income Tax'!F33</f>
        <v/>
      </c>
      <c r="AA34" s="17">
        <f>+X34-Y34</f>
        <v/>
      </c>
      <c r="AB34" s="16">
        <f>ROUND(J34/M$1*M34,0)</f>
        <v/>
      </c>
      <c r="AC34" s="14" t="n"/>
      <c r="AD34" s="14">
        <f>+'Income Tax'!G33</f>
        <v/>
      </c>
      <c r="AE34" s="75">
        <f>+AB34-AC34</f>
        <v/>
      </c>
      <c r="AF34" s="17">
        <f>ROUND(J34/N$1*N34,0)</f>
        <v/>
      </c>
      <c r="AG34" s="14" t="n"/>
      <c r="AH34" s="14">
        <f>+'Income Tax'!H33</f>
        <v/>
      </c>
      <c r="AI34" s="17">
        <f>+AF34-AG34</f>
        <v/>
      </c>
      <c r="AJ34" s="16">
        <f>ROUND(J34/O$1*O34,0)</f>
        <v/>
      </c>
      <c r="AK34" s="14" t="n"/>
      <c r="AL34" s="14">
        <f>+'Income Tax'!I33</f>
        <v/>
      </c>
      <c r="AM34" s="17">
        <f>+AJ34-AK34-AL34-H34</f>
        <v/>
      </c>
      <c r="AP34">
        <f>+VLOOKUP(A34,'Master Data'!$A$18:$D$37,4,0)</f>
        <v/>
      </c>
    </row>
    <row r="35">
      <c r="A35" s="64" t="inlineStr">
        <is>
          <t>INF0033</t>
        </is>
      </c>
      <c r="B35" s="19" t="inlineStr">
        <is>
          <t>Shivam Singh</t>
        </is>
      </c>
      <c r="C35" s="20" t="inlineStr">
        <is>
          <t>Active</t>
        </is>
      </c>
      <c r="D35" s="12" t="inlineStr">
        <is>
          <t>Yes</t>
        </is>
      </c>
      <c r="E35" s="13" t="n">
        <v>91666.66666666667</v>
      </c>
      <c r="F35" s="13">
        <f>+E35/2</f>
        <v/>
      </c>
      <c r="G35" s="13">
        <f>+F35-1800</f>
        <v/>
      </c>
      <c r="H35" s="13" t="n">
        <v>1800</v>
      </c>
      <c r="I35" s="13">
        <f>+'Income Tax'!F34</f>
        <v/>
      </c>
      <c r="J35" s="21">
        <f>+SUM(E35:G35)</f>
        <v/>
      </c>
      <c r="K35" s="21">
        <f>+(J35/30.5)*SUM(L35:W35)</f>
        <v/>
      </c>
      <c r="L35" s="14" t="n">
        <v>0</v>
      </c>
      <c r="M35" s="14" t="n">
        <v>0</v>
      </c>
      <c r="N35" s="14" t="n">
        <v>0</v>
      </c>
      <c r="O35" s="14">
        <f>31-8</f>
        <v/>
      </c>
      <c r="P35" t="n">
        <v>31</v>
      </c>
      <c r="Q35" t="n">
        <v>30</v>
      </c>
      <c r="R35" t="n">
        <v>31</v>
      </c>
      <c r="S35" t="n">
        <v>30</v>
      </c>
      <c r="T35" t="n">
        <v>31</v>
      </c>
      <c r="U35" t="n">
        <v>31</v>
      </c>
      <c r="V35" t="n">
        <v>28</v>
      </c>
      <c r="W35" t="n">
        <v>31</v>
      </c>
      <c r="X35" s="16">
        <f>ROUND(J35/L$1*L35,0)</f>
        <v/>
      </c>
      <c r="Y35" s="14" t="n"/>
      <c r="Z35" s="14">
        <f>+'Income Tax'!F34</f>
        <v/>
      </c>
      <c r="AA35" s="17">
        <f>+X35-Y35</f>
        <v/>
      </c>
      <c r="AB35" s="16">
        <f>ROUND(J35/M$1*M35,0)</f>
        <v/>
      </c>
      <c r="AC35" s="14" t="n"/>
      <c r="AD35" s="14">
        <f>+'Income Tax'!G34</f>
        <v/>
      </c>
      <c r="AE35" s="75">
        <f>+AB35-AC35</f>
        <v/>
      </c>
      <c r="AF35" s="17">
        <f>ROUND(J35/N$1*N35,0)</f>
        <v/>
      </c>
      <c r="AG35" s="14" t="n"/>
      <c r="AH35" s="14">
        <f>+'Income Tax'!H34</f>
        <v/>
      </c>
      <c r="AI35" s="17">
        <f>+AF35-AG35</f>
        <v/>
      </c>
      <c r="AJ35" s="16">
        <f>ROUND(J35/O$1*O35,0)</f>
        <v/>
      </c>
      <c r="AK35" s="14" t="n"/>
      <c r="AL35" s="14">
        <f>+'Income Tax'!I34</f>
        <v/>
      </c>
      <c r="AM35" s="17">
        <f>+AJ35-AK35-AL35-H35</f>
        <v/>
      </c>
      <c r="AO35" s="16" t="n"/>
      <c r="AP35">
        <f>+VLOOKUP(A35,'Master Data'!$A$18:$D$37,4,0)</f>
        <v/>
      </c>
    </row>
    <row r="36">
      <c r="A36" s="64" t="inlineStr">
        <is>
          <t>INF0034</t>
        </is>
      </c>
      <c r="B36" s="19" t="inlineStr">
        <is>
          <t>Vivek Kaul</t>
        </is>
      </c>
      <c r="C36" s="20" t="inlineStr">
        <is>
          <t>Active</t>
        </is>
      </c>
      <c r="D36" s="12" t="inlineStr">
        <is>
          <t>Yes</t>
        </is>
      </c>
      <c r="E36" s="13" t="n">
        <v>70833.33333333333</v>
      </c>
      <c r="F36" s="13">
        <f>+E36/2</f>
        <v/>
      </c>
      <c r="G36" s="13">
        <f>+F36-1800</f>
        <v/>
      </c>
      <c r="H36" s="13" t="n">
        <v>1800</v>
      </c>
      <c r="I36" s="13">
        <f>+'Income Tax'!F35</f>
        <v/>
      </c>
      <c r="J36" s="21">
        <f>+SUM(E36:G36)</f>
        <v/>
      </c>
      <c r="K36" s="21">
        <f>+(J36/30.5)*SUM(L36:W36)</f>
        <v/>
      </c>
      <c r="L36" s="14" t="n">
        <v>0</v>
      </c>
      <c r="M36" s="14" t="n">
        <v>0</v>
      </c>
      <c r="N36" s="14" t="n">
        <v>2</v>
      </c>
      <c r="O36" s="14" t="n">
        <v>31</v>
      </c>
      <c r="P36" t="n">
        <v>31</v>
      </c>
      <c r="Q36" t="n">
        <v>30</v>
      </c>
      <c r="R36" t="n">
        <v>31</v>
      </c>
      <c r="S36" t="n">
        <v>30</v>
      </c>
      <c r="T36" t="n">
        <v>31</v>
      </c>
      <c r="U36" t="n">
        <v>31</v>
      </c>
      <c r="V36" t="n">
        <v>28</v>
      </c>
      <c r="W36" t="n">
        <v>31</v>
      </c>
      <c r="X36" s="16">
        <f>ROUND(J36/L$1*L36,0)</f>
        <v/>
      </c>
      <c r="Y36" s="14" t="n"/>
      <c r="Z36" s="14">
        <f>+'Income Tax'!F35</f>
        <v/>
      </c>
      <c r="AA36" s="17">
        <f>+X36-Y36</f>
        <v/>
      </c>
      <c r="AB36" s="16">
        <f>ROUND(J36/M$1*M36,0)</f>
        <v/>
      </c>
      <c r="AC36" s="14" t="n"/>
      <c r="AD36" s="14">
        <f>+'Income Tax'!G35</f>
        <v/>
      </c>
      <c r="AE36" s="75">
        <f>+AB36-AC36</f>
        <v/>
      </c>
      <c r="AF36" s="17">
        <f>ROUND((J36+1800)/N$1*N36,0)</f>
        <v/>
      </c>
      <c r="AG36" s="14" t="n"/>
      <c r="AH36" s="14">
        <f>+'Income Tax'!H35</f>
        <v/>
      </c>
      <c r="AI36" s="17">
        <f>+AF36-AG36</f>
        <v/>
      </c>
      <c r="AJ36" s="16">
        <f>ROUND(J36/O$1*O36,0)</f>
        <v/>
      </c>
      <c r="AK36" s="14" t="n"/>
      <c r="AL36" s="14">
        <f>+'Income Tax'!I35</f>
        <v/>
      </c>
      <c r="AM36" s="17">
        <f>+AJ36-AK36-AL36-H36</f>
        <v/>
      </c>
      <c r="AN36" s="16">
        <f>+AI36</f>
        <v/>
      </c>
      <c r="AO36" t="inlineStr">
        <is>
          <t>2days</t>
        </is>
      </c>
      <c r="AP36">
        <f>+VLOOKUP(A36,'Master Data'!$A$18:$D$37,4,0)</f>
        <v/>
      </c>
    </row>
    <row r="37">
      <c r="A37" s="64" t="inlineStr">
        <is>
          <t>INF0035</t>
        </is>
      </c>
      <c r="B37" s="19" t="inlineStr">
        <is>
          <t>Himanshu Singh</t>
        </is>
      </c>
      <c r="C37" s="20" t="inlineStr">
        <is>
          <t>Active</t>
        </is>
      </c>
      <c r="D37" s="12" t="inlineStr">
        <is>
          <t>Yes</t>
        </is>
      </c>
      <c r="E37" s="13" t="n">
        <v>70833.33333333333</v>
      </c>
      <c r="F37" s="13">
        <f>+E37/2</f>
        <v/>
      </c>
      <c r="G37" s="13">
        <f>+F37-1800</f>
        <v/>
      </c>
      <c r="H37" s="13" t="n">
        <v>1800</v>
      </c>
      <c r="I37" s="13">
        <f>+'Income Tax'!F36</f>
        <v/>
      </c>
      <c r="J37" s="21">
        <f>+SUM(E37:G37)</f>
        <v/>
      </c>
      <c r="K37" s="21">
        <f>+(J37/30.5)*SUM(L37:W37)</f>
        <v/>
      </c>
      <c r="L37" s="14" t="n">
        <v>0</v>
      </c>
      <c r="M37" s="14" t="n">
        <v>0</v>
      </c>
      <c r="N37" s="14" t="n">
        <v>9</v>
      </c>
      <c r="O37" s="14" t="n">
        <v>31</v>
      </c>
      <c r="P37" t="n">
        <v>31</v>
      </c>
      <c r="Q37" t="n">
        <v>30</v>
      </c>
      <c r="R37" t="n">
        <v>31</v>
      </c>
      <c r="S37" t="n">
        <v>30</v>
      </c>
      <c r="T37" t="n">
        <v>31</v>
      </c>
      <c r="U37" t="n">
        <v>31</v>
      </c>
      <c r="V37" t="n">
        <v>28</v>
      </c>
      <c r="W37" t="n">
        <v>31</v>
      </c>
      <c r="X37" s="16">
        <f>ROUND(J37/L$1*L37,0)</f>
        <v/>
      </c>
      <c r="Y37" s="14" t="n"/>
      <c r="Z37" s="14">
        <f>+'Income Tax'!F36</f>
        <v/>
      </c>
      <c r="AA37" s="17">
        <f>+X37-Y37</f>
        <v/>
      </c>
      <c r="AB37" s="16">
        <f>ROUND(J37/M$1*M37,0)</f>
        <v/>
      </c>
      <c r="AC37" s="14" t="n"/>
      <c r="AD37" s="14">
        <f>+'Income Tax'!G36</f>
        <v/>
      </c>
      <c r="AE37" s="75">
        <f>+AB37-AC37</f>
        <v/>
      </c>
      <c r="AF37" s="17">
        <f>ROUND((J37+1800)/N$1*N37,0)</f>
        <v/>
      </c>
      <c r="AG37" s="14" t="n"/>
      <c r="AH37" s="14">
        <f>+'Income Tax'!H36</f>
        <v/>
      </c>
      <c r="AI37" s="17">
        <f>+AF37-AG37</f>
        <v/>
      </c>
      <c r="AJ37" s="16">
        <f>ROUND(J37/O$1*O37,0)</f>
        <v/>
      </c>
      <c r="AK37" s="14" t="n"/>
      <c r="AL37" s="14">
        <f>+'Income Tax'!I36</f>
        <v/>
      </c>
      <c r="AM37" s="17">
        <f>+AJ37-AK37-AL37-H37</f>
        <v/>
      </c>
      <c r="AN37" s="16">
        <f>+AI37</f>
        <v/>
      </c>
      <c r="AO37" t="inlineStr">
        <is>
          <t>9days</t>
        </is>
      </c>
      <c r="AP37">
        <f>+VLOOKUP(A37,'Master Data'!$A$18:$D$37,4,0)</f>
        <v/>
      </c>
    </row>
    <row r="38">
      <c r="A38" s="64" t="inlineStr">
        <is>
          <t>INF0036</t>
        </is>
      </c>
      <c r="B38" s="19" t="inlineStr">
        <is>
          <t>Gaurav Nagar</t>
        </is>
      </c>
      <c r="C38" s="20" t="inlineStr">
        <is>
          <t>Active</t>
        </is>
      </c>
      <c r="D38" s="12" t="inlineStr">
        <is>
          <t>Yes</t>
        </is>
      </c>
      <c r="E38" s="13" t="n">
        <v>47916.66666666666</v>
      </c>
      <c r="F38" s="13">
        <f>+E38/2</f>
        <v/>
      </c>
      <c r="G38" s="13">
        <f>+F38-1800</f>
        <v/>
      </c>
      <c r="H38" s="13" t="n">
        <v>1800</v>
      </c>
      <c r="I38" s="13">
        <f>+'Income Tax'!F37</f>
        <v/>
      </c>
      <c r="J38" s="21">
        <f>+SUM(E38:G38)</f>
        <v/>
      </c>
      <c r="K38" s="21">
        <f>+(J38/30.5)*SUM(L38:W38)</f>
        <v/>
      </c>
      <c r="L38" s="14" t="n">
        <v>0</v>
      </c>
      <c r="M38" s="14" t="n">
        <v>0</v>
      </c>
      <c r="N38" s="14" t="n">
        <v>0</v>
      </c>
      <c r="O38" s="14" t="n">
        <v>19</v>
      </c>
      <c r="P38" t="n">
        <v>31</v>
      </c>
      <c r="Q38" t="n">
        <v>30</v>
      </c>
      <c r="R38" t="n">
        <v>31</v>
      </c>
      <c r="S38" t="n">
        <v>30</v>
      </c>
      <c r="T38" t="n">
        <v>31</v>
      </c>
      <c r="U38" t="n">
        <v>31</v>
      </c>
      <c r="V38" t="n">
        <v>28</v>
      </c>
      <c r="W38" t="n">
        <v>31</v>
      </c>
      <c r="X38" s="16">
        <f>ROUND(J38/L$1*L38,0)</f>
        <v/>
      </c>
      <c r="Y38" s="14" t="n"/>
      <c r="Z38" s="14">
        <f>+'Income Tax'!F37</f>
        <v/>
      </c>
      <c r="AA38" s="17">
        <f>+X38-Y38</f>
        <v/>
      </c>
      <c r="AB38" s="16">
        <f>ROUND(J38/M$1*M38,0)</f>
        <v/>
      </c>
      <c r="AC38" s="14" t="n"/>
      <c r="AD38" s="14">
        <f>+'Income Tax'!G37</f>
        <v/>
      </c>
      <c r="AE38" s="75">
        <f>+AB38-AC38</f>
        <v/>
      </c>
      <c r="AF38" s="17">
        <f>ROUND(J38/N$1*N38,0)</f>
        <v/>
      </c>
      <c r="AG38" s="14" t="n"/>
      <c r="AH38" s="14">
        <f>+'Income Tax'!H37</f>
        <v/>
      </c>
      <c r="AI38" s="17">
        <f>+AF38-AG38</f>
        <v/>
      </c>
      <c r="AJ38" s="16">
        <f>ROUND(J38/O$1*O38,0)</f>
        <v/>
      </c>
      <c r="AK38" s="14" t="n"/>
      <c r="AL38" s="14">
        <f>+'Income Tax'!I37</f>
        <v/>
      </c>
      <c r="AM38" s="17">
        <f>+AJ38-AK38-AL38-H38</f>
        <v/>
      </c>
      <c r="AP38">
        <f>+VLOOKUP(A38,'Master Data'!$A$18:$D$37,4,0)</f>
        <v/>
      </c>
    </row>
    <row r="39" hidden="1" s="103">
      <c r="E39" s="89">
        <f>IF($J39="","",+J39/2)</f>
        <v/>
      </c>
      <c r="F39" s="89">
        <f>IF($J39="","",+E39/2)</f>
        <v/>
      </c>
      <c r="G39" s="89">
        <f>IF($J39="","",+F39)</f>
        <v/>
      </c>
      <c r="H39" s="89" t="n"/>
      <c r="I39" s="89" t="n"/>
    </row>
    <row r="40" hidden="1" s="103">
      <c r="E40" s="89">
        <f>IF($J40="","",+J40/2)</f>
        <v/>
      </c>
      <c r="F40" s="89">
        <f>IF($J40="","",+E40/2)</f>
        <v/>
      </c>
      <c r="G40" s="89">
        <f>IF($J40="","",+F40)</f>
        <v/>
      </c>
      <c r="H40" s="89" t="n"/>
      <c r="I40" s="89" t="n"/>
    </row>
    <row r="41" hidden="1" s="103">
      <c r="E41" s="89">
        <f>IF($J41="","",+J41/2)</f>
        <v/>
      </c>
      <c r="F41" s="89">
        <f>IF($J41="","",+E41/2)</f>
        <v/>
      </c>
      <c r="G41" s="89">
        <f>IF($J41="","",+F41)</f>
        <v/>
      </c>
      <c r="H41" s="89" t="n"/>
      <c r="I41" s="89" t="n"/>
    </row>
    <row r="42" hidden="1" s="103">
      <c r="E42" s="89">
        <f>IF($J42="","",+J42/2)</f>
        <v/>
      </c>
      <c r="F42" s="89">
        <f>IF($J42="","",+E42/2)</f>
        <v/>
      </c>
      <c r="G42" s="89">
        <f>IF($J42="","",+F42)</f>
        <v/>
      </c>
      <c r="H42" s="89" t="n"/>
      <c r="I42" s="89" t="n"/>
      <c r="AF42" s="141" t="n"/>
      <c r="AG42" s="16" t="n"/>
    </row>
    <row r="43" hidden="1" s="103">
      <c r="E43" s="89">
        <f>IF($J43="","",+J43/2)</f>
        <v/>
      </c>
      <c r="F43" s="89">
        <f>IF($J43="","",+E43/2)</f>
        <v/>
      </c>
      <c r="G43" s="89">
        <f>IF($J43="","",+F43)</f>
        <v/>
      </c>
      <c r="H43" s="89" t="n"/>
      <c r="I43" s="89" t="n"/>
    </row>
    <row r="44" hidden="1" s="103">
      <c r="E44" s="89">
        <f>IF($J44="","",+J44/2)</f>
        <v/>
      </c>
      <c r="F44" s="89">
        <f>IF($J44="","",+E44/2)</f>
        <v/>
      </c>
      <c r="G44" s="89">
        <f>IF($J44="","",+F44)</f>
        <v/>
      </c>
      <c r="H44" s="89" t="n"/>
      <c r="I44" s="89" t="n"/>
    </row>
    <row r="45" hidden="1" s="103">
      <c r="E45" s="89">
        <f>IF($J45="","",+J45/2)</f>
        <v/>
      </c>
      <c r="F45" s="89">
        <f>IF($J45="","",+E45/2)</f>
        <v/>
      </c>
      <c r="G45" s="89">
        <f>IF($J45="","",+F45)</f>
        <v/>
      </c>
      <c r="H45" s="89" t="n"/>
      <c r="I45" s="89" t="n"/>
    </row>
    <row r="46" hidden="1" s="103">
      <c r="E46" s="89">
        <f>IF($J46="","",+J46/2)</f>
        <v/>
      </c>
      <c r="F46" s="89">
        <f>IF($J46="","",+E46/2)</f>
        <v/>
      </c>
      <c r="G46" s="89">
        <f>IF($J46="","",+F46)</f>
        <v/>
      </c>
      <c r="H46" s="89" t="n"/>
      <c r="I46" s="89" t="n"/>
    </row>
    <row r="47" hidden="1" s="103">
      <c r="E47" s="89">
        <f>IF($J47="","",+J47/2)</f>
        <v/>
      </c>
      <c r="F47" s="89">
        <f>IF($J47="","",+E47/2)</f>
        <v/>
      </c>
      <c r="G47" s="89">
        <f>IF($J47="","",+F47)</f>
        <v/>
      </c>
      <c r="H47" s="89" t="n"/>
      <c r="I47" s="89" t="n"/>
    </row>
    <row r="48" hidden="1" s="103">
      <c r="E48" s="89">
        <f>IF($J48="","",+J48/2)</f>
        <v/>
      </c>
      <c r="F48" s="89">
        <f>IF($J48="","",+E48/2)</f>
        <v/>
      </c>
      <c r="G48" s="89">
        <f>IF($J48="","",+F48)</f>
        <v/>
      </c>
      <c r="H48" s="89" t="n"/>
      <c r="I48" s="89" t="n"/>
    </row>
    <row r="49" hidden="1" s="103">
      <c r="E49" s="89">
        <f>IF($J49="","",+J49/2)</f>
        <v/>
      </c>
      <c r="F49" s="89">
        <f>IF($J49="","",+E49/2)</f>
        <v/>
      </c>
      <c r="G49" s="89">
        <f>IF($J49="","",+F49)</f>
        <v/>
      </c>
      <c r="H49" s="89" t="n"/>
      <c r="I49" s="89" t="n"/>
    </row>
    <row r="50" hidden="1" s="103">
      <c r="E50" s="89">
        <f>IF($J50="","",+J50/2)</f>
        <v/>
      </c>
      <c r="F50" s="89">
        <f>IF($J50="","",+E50/2)</f>
        <v/>
      </c>
      <c r="G50" s="89">
        <f>IF($J50="","",+F50)</f>
        <v/>
      </c>
      <c r="H50" s="89" t="n"/>
      <c r="I50" s="89" t="n"/>
    </row>
    <row r="51" hidden="1" s="103">
      <c r="E51" s="89">
        <f>IF($J51="","",+J51/2)</f>
        <v/>
      </c>
      <c r="F51" s="89">
        <f>IF($J51="","",+E51/2)</f>
        <v/>
      </c>
      <c r="G51" s="89">
        <f>IF($J51="","",+F51)</f>
        <v/>
      </c>
      <c r="H51" s="89" t="n"/>
      <c r="I51" s="89" t="n"/>
    </row>
    <row r="52" hidden="1" s="103">
      <c r="E52" s="89">
        <f>IF($J52="","",+J52/2)</f>
        <v/>
      </c>
      <c r="F52" s="89">
        <f>IF($J52="","",+E52/2)</f>
        <v/>
      </c>
      <c r="G52" s="89">
        <f>IF($J52="","",+F52)</f>
        <v/>
      </c>
      <c r="H52" s="89" t="n"/>
      <c r="I52" s="89" t="n"/>
    </row>
    <row r="53" hidden="1" s="103">
      <c r="E53" s="89">
        <f>IF($J53="","",+J53/2)</f>
        <v/>
      </c>
      <c r="F53" s="89">
        <f>IF($J53="","",+E53/2)</f>
        <v/>
      </c>
      <c r="G53" s="89">
        <f>IF($J53="","",+F53)</f>
        <v/>
      </c>
      <c r="H53" s="89" t="n"/>
      <c r="I53" s="89" t="n"/>
    </row>
    <row r="54" hidden="1" s="103">
      <c r="E54" s="89">
        <f>IF($J54="","",+J54/2)</f>
        <v/>
      </c>
      <c r="F54" s="89">
        <f>IF($J54="","",+E54/2)</f>
        <v/>
      </c>
      <c r="G54" s="89">
        <f>IF($J54="","",+F54)</f>
        <v/>
      </c>
      <c r="H54" s="89" t="n"/>
      <c r="I54" s="89" t="n"/>
    </row>
    <row r="55" hidden="1" s="103">
      <c r="E55" s="89">
        <f>IF($J55="","",+J55/2)</f>
        <v/>
      </c>
      <c r="F55" s="89">
        <f>IF($J55="","",+E55/2)</f>
        <v/>
      </c>
      <c r="G55" s="89">
        <f>IF($J55="","",+F55)</f>
        <v/>
      </c>
      <c r="H55" s="89" t="n"/>
      <c r="I55" s="89" t="n"/>
    </row>
    <row r="56" hidden="1" s="103">
      <c r="E56" s="89">
        <f>IF($J56="","",+J56/2)</f>
        <v/>
      </c>
      <c r="F56" s="89">
        <f>IF($J56="","",+E56/2)</f>
        <v/>
      </c>
      <c r="G56" s="89">
        <f>IF($J56="","",+F56)</f>
        <v/>
      </c>
      <c r="H56" s="89" t="n"/>
      <c r="I56" s="89" t="n"/>
    </row>
    <row r="57" hidden="1" s="103">
      <c r="E57" s="89">
        <f>IF($J57="","",+J57/2)</f>
        <v/>
      </c>
      <c r="F57" s="89">
        <f>IF($J57="","",+E57/2)</f>
        <v/>
      </c>
      <c r="G57" s="89">
        <f>IF($J57="","",+F57)</f>
        <v/>
      </c>
      <c r="H57" s="89" t="n"/>
      <c r="I57" s="89" t="n"/>
    </row>
    <row r="58" hidden="1" s="103">
      <c r="E58" s="89">
        <f>IF($J58="","",+J58/2)</f>
        <v/>
      </c>
      <c r="F58" s="89">
        <f>IF($J58="","",+E58/2)</f>
        <v/>
      </c>
      <c r="G58" s="89">
        <f>IF($J58="","",+F58)</f>
        <v/>
      </c>
      <c r="H58" s="89" t="n"/>
      <c r="I58" s="89" t="n"/>
    </row>
    <row r="59" hidden="1" s="103">
      <c r="E59" s="89">
        <f>IF($J59="","",+J59/2)</f>
        <v/>
      </c>
      <c r="F59" s="89">
        <f>IF($J59="","",+E59/2)</f>
        <v/>
      </c>
      <c r="G59" s="89">
        <f>IF($J59="","",+F59)</f>
        <v/>
      </c>
      <c r="H59" s="89" t="n"/>
      <c r="I59" s="89" t="n"/>
    </row>
    <row r="60" hidden="1" s="103">
      <c r="E60" s="89">
        <f>IF($J60="","",+J60/2)</f>
        <v/>
      </c>
      <c r="F60" s="89">
        <f>IF($J60="","",+E60/2)</f>
        <v/>
      </c>
      <c r="G60" s="89">
        <f>IF($J60="","",+F60)</f>
        <v/>
      </c>
      <c r="H60" s="89" t="n"/>
      <c r="I60" s="89" t="n"/>
    </row>
    <row r="61" hidden="1" s="103">
      <c r="E61" s="89">
        <f>IF($J61="","",+J61/2)</f>
        <v/>
      </c>
      <c r="F61" s="89">
        <f>IF($J61="","",+E61/2)</f>
        <v/>
      </c>
      <c r="G61" s="89">
        <f>IF($J61="","",+F61)</f>
        <v/>
      </c>
      <c r="H61" s="89" t="n"/>
      <c r="I61" s="89" t="n"/>
    </row>
    <row r="62" hidden="1" s="103">
      <c r="E62" s="89">
        <f>IF($J62="","",+J62/2)</f>
        <v/>
      </c>
      <c r="F62" s="89">
        <f>IF($J62="","",+E62/2)</f>
        <v/>
      </c>
      <c r="G62" s="89">
        <f>IF($J62="","",+F62)</f>
        <v/>
      </c>
      <c r="H62" s="89" t="n"/>
      <c r="I62" s="89" t="n"/>
    </row>
    <row r="63" hidden="1" s="103">
      <c r="E63" s="89">
        <f>IF($J63="","",+J63/2)</f>
        <v/>
      </c>
      <c r="F63" s="89">
        <f>IF($J63="","",+E63/2)</f>
        <v/>
      </c>
      <c r="G63" s="89">
        <f>IF($J63="","",+F63)</f>
        <v/>
      </c>
      <c r="H63" s="89" t="n"/>
      <c r="I63" s="89" t="n"/>
    </row>
    <row r="64" hidden="1" s="103">
      <c r="E64" s="89">
        <f>IF($J64="","",+J64/2)</f>
        <v/>
      </c>
      <c r="F64" s="89">
        <f>IF($J64="","",+E64/2)</f>
        <v/>
      </c>
      <c r="G64" s="89">
        <f>IF($J64="","",+F64)</f>
        <v/>
      </c>
      <c r="H64" s="89" t="n"/>
      <c r="I64" s="89" t="n"/>
    </row>
    <row r="65" hidden="1" s="103">
      <c r="E65" s="89">
        <f>IF($J65="","",+J65/2)</f>
        <v/>
      </c>
      <c r="F65" s="89">
        <f>IF($J65="","",+E65/2)</f>
        <v/>
      </c>
      <c r="G65" s="89">
        <f>IF($J65="","",+F65)</f>
        <v/>
      </c>
      <c r="H65" s="89" t="n"/>
      <c r="I65" s="89" t="n"/>
    </row>
    <row r="66" hidden="1" s="103">
      <c r="E66" s="89">
        <f>IF($J66="","",+J66/2)</f>
        <v/>
      </c>
      <c r="F66" s="89">
        <f>IF($J66="","",+E66/2)</f>
        <v/>
      </c>
      <c r="G66" s="89">
        <f>IF($J66="","",+F66)</f>
        <v/>
      </c>
      <c r="H66" s="89" t="n"/>
      <c r="I66" s="89" t="n"/>
    </row>
    <row r="67" hidden="1" s="103">
      <c r="E67" s="89">
        <f>IF($J67="","",+J67/2)</f>
        <v/>
      </c>
      <c r="F67" s="89">
        <f>IF($J67="","",+E67/2)</f>
        <v/>
      </c>
      <c r="G67" s="89">
        <f>IF($J67="","",+F67)</f>
        <v/>
      </c>
      <c r="H67" s="89" t="n"/>
      <c r="I67" s="89" t="n"/>
    </row>
    <row r="68" hidden="1" s="103">
      <c r="E68" s="89">
        <f>IF($J68="","",+J68/2)</f>
        <v/>
      </c>
      <c r="F68" s="89">
        <f>IF($J68="","",+E68/2)</f>
        <v/>
      </c>
      <c r="G68" s="89">
        <f>IF($J68="","",+F68)</f>
        <v/>
      </c>
      <c r="H68" s="89" t="n"/>
      <c r="I68" s="89" t="n"/>
    </row>
    <row r="69" hidden="1" s="103">
      <c r="E69" s="89">
        <f>IF($J69="","",+J69/2)</f>
        <v/>
      </c>
      <c r="F69" s="89">
        <f>IF($J69="","",+E69/2)</f>
        <v/>
      </c>
      <c r="G69" s="89">
        <f>IF($J69="","",+F69)</f>
        <v/>
      </c>
      <c r="H69" s="89" t="n"/>
      <c r="I69" s="89" t="n"/>
    </row>
    <row r="70" hidden="1" s="103">
      <c r="E70" s="89">
        <f>IF($J70="","",+J70/2)</f>
        <v/>
      </c>
      <c r="F70" s="89">
        <f>IF($J70="","",+E70/2)</f>
        <v/>
      </c>
      <c r="G70" s="89">
        <f>IF($J70="","",+F70)</f>
        <v/>
      </c>
      <c r="H70" s="89" t="n"/>
      <c r="I70" s="89" t="n"/>
    </row>
    <row r="71" hidden="1" s="103">
      <c r="E71" s="89">
        <f>IF($J71="","",+J71/2)</f>
        <v/>
      </c>
      <c r="F71" s="89">
        <f>IF($J71="","",+E71/2)</f>
        <v/>
      </c>
      <c r="G71" s="89">
        <f>IF($J71="","",+F71)</f>
        <v/>
      </c>
      <c r="H71" s="89" t="n"/>
      <c r="I71" s="89" t="n"/>
    </row>
    <row r="72" hidden="1" s="103">
      <c r="E72" s="89">
        <f>IF($J72="","",+J72/2)</f>
        <v/>
      </c>
      <c r="F72" s="89">
        <f>IF($J72="","",+E72/2)</f>
        <v/>
      </c>
      <c r="G72" s="89">
        <f>IF($J72="","",+F72)</f>
        <v/>
      </c>
      <c r="H72" s="89" t="n"/>
      <c r="I72" s="89" t="n"/>
    </row>
    <row r="73" hidden="1" s="103">
      <c r="E73" s="89">
        <f>IF($J73="","",+J73/2)</f>
        <v/>
      </c>
      <c r="F73" s="89">
        <f>IF($J73="","",+E73/2)</f>
        <v/>
      </c>
      <c r="G73" s="89">
        <f>IF($J73="","",+F73)</f>
        <v/>
      </c>
      <c r="H73" s="89" t="n"/>
      <c r="I73" s="89" t="n"/>
    </row>
    <row r="74" hidden="1" s="103">
      <c r="E74" s="89">
        <f>IF($J74="","",+J74/2)</f>
        <v/>
      </c>
      <c r="F74" s="89">
        <f>IF($J74="","",+E74/2)</f>
        <v/>
      </c>
      <c r="G74" s="89">
        <f>IF($J74="","",+F74)</f>
        <v/>
      </c>
      <c r="H74" s="89" t="n"/>
      <c r="I74" s="89" t="n"/>
    </row>
    <row r="75" hidden="1" s="103">
      <c r="E75" s="89">
        <f>IF($J75="","",+J75/2)</f>
        <v/>
      </c>
      <c r="F75" s="89">
        <f>IF($J75="","",+E75/2)</f>
        <v/>
      </c>
      <c r="G75" s="89">
        <f>IF($J75="","",+F75)</f>
        <v/>
      </c>
      <c r="H75" s="89" t="n"/>
      <c r="I75" s="89" t="n"/>
    </row>
    <row r="76" hidden="1" s="103">
      <c r="E76" s="89">
        <f>IF($J76="","",+J76/2)</f>
        <v/>
      </c>
      <c r="F76" s="89">
        <f>IF($J76="","",+E76/2)</f>
        <v/>
      </c>
      <c r="G76" s="89">
        <f>IF($J76="","",+F76)</f>
        <v/>
      </c>
      <c r="H76" s="89" t="n"/>
      <c r="I76" s="89" t="n"/>
    </row>
    <row r="77" hidden="1" s="103">
      <c r="E77" s="89">
        <f>IF($J77="","",+J77/2)</f>
        <v/>
      </c>
      <c r="F77" s="89">
        <f>IF($J77="","",+E77/2)</f>
        <v/>
      </c>
      <c r="G77" s="89">
        <f>IF($J77="","",+F77)</f>
        <v/>
      </c>
      <c r="H77" s="89" t="n"/>
      <c r="I77" s="89" t="n"/>
    </row>
    <row r="78" hidden="1" s="103">
      <c r="E78" s="89">
        <f>IF($J78="","",+J78/2)</f>
        <v/>
      </c>
      <c r="F78" s="89">
        <f>IF($J78="","",+E78/2)</f>
        <v/>
      </c>
      <c r="G78" s="89">
        <f>IF($J78="","",+F78)</f>
        <v/>
      </c>
      <c r="H78" s="89" t="n"/>
      <c r="I78" s="89" t="n"/>
    </row>
    <row r="79" hidden="1" s="103">
      <c r="E79" s="89">
        <f>IF($J79="","",+J79/2)</f>
        <v/>
      </c>
      <c r="F79" s="89">
        <f>IF($J79="","",+E79/2)</f>
        <v/>
      </c>
      <c r="G79" s="89">
        <f>IF($J79="","",+F79)</f>
        <v/>
      </c>
      <c r="H79" s="89" t="n"/>
      <c r="I79" s="89" t="n"/>
    </row>
    <row r="80" hidden="1" s="103">
      <c r="E80" s="89">
        <f>IF($J80="","",+J80/2)</f>
        <v/>
      </c>
      <c r="F80" s="89">
        <f>IF($J80="","",+E80/2)</f>
        <v/>
      </c>
      <c r="G80" s="89">
        <f>IF($J80="","",+F80)</f>
        <v/>
      </c>
      <c r="H80" s="89" t="n"/>
      <c r="I80" s="89" t="n"/>
    </row>
    <row r="81" hidden="1" s="103">
      <c r="E81" s="89">
        <f>IF($J81="","",+J81/2)</f>
        <v/>
      </c>
      <c r="F81" s="89">
        <f>IF($J81="","",+E81/2)</f>
        <v/>
      </c>
      <c r="G81" s="89">
        <f>IF($J81="","",+F81)</f>
        <v/>
      </c>
      <c r="H81" s="89" t="n"/>
      <c r="I81" s="89" t="n"/>
    </row>
    <row r="82" hidden="1" s="103">
      <c r="E82" s="89">
        <f>IF($J82="","",+J82/2)</f>
        <v/>
      </c>
      <c r="F82" s="89">
        <f>IF($J82="","",+E82/2)</f>
        <v/>
      </c>
      <c r="G82" s="89">
        <f>IF($J82="","",+F82)</f>
        <v/>
      </c>
      <c r="H82" s="89" t="n"/>
      <c r="I82" s="89" t="n"/>
    </row>
    <row r="83" hidden="1" s="103">
      <c r="E83" s="89">
        <f>IF($J83="","",+J83/2)</f>
        <v/>
      </c>
      <c r="F83" s="89">
        <f>IF($J83="","",+E83/2)</f>
        <v/>
      </c>
      <c r="G83" s="89">
        <f>IF($J83="","",+F83)</f>
        <v/>
      </c>
      <c r="H83" s="89" t="n"/>
      <c r="I83" s="89" t="n"/>
    </row>
    <row r="84" hidden="1" s="103">
      <c r="E84" s="89">
        <f>IF($J84="","",+J84/2)</f>
        <v/>
      </c>
      <c r="F84" s="89">
        <f>IF($J84="","",+E84/2)</f>
        <v/>
      </c>
      <c r="G84" s="89">
        <f>IF($J84="","",+F84)</f>
        <v/>
      </c>
      <c r="H84" s="89" t="n"/>
      <c r="I84" s="89" t="n"/>
    </row>
    <row r="85" hidden="1" s="103">
      <c r="E85" s="89">
        <f>IF($J85="","",+J85/2)</f>
        <v/>
      </c>
      <c r="F85" s="89">
        <f>IF($J85="","",+E85/2)</f>
        <v/>
      </c>
      <c r="G85" s="89">
        <f>IF($J85="","",+F85)</f>
        <v/>
      </c>
      <c r="H85" s="89" t="n"/>
      <c r="I85" s="89" t="n"/>
    </row>
    <row r="86" hidden="1" s="103">
      <c r="E86" s="89">
        <f>IF($J86="","",+J86/2)</f>
        <v/>
      </c>
      <c r="F86" s="89">
        <f>IF($J86="","",+E86/2)</f>
        <v/>
      </c>
      <c r="G86" s="89">
        <f>IF($J86="","",+F86)</f>
        <v/>
      </c>
      <c r="H86" s="89" t="n"/>
      <c r="I86" s="89" t="n"/>
    </row>
    <row r="87" hidden="1" s="103">
      <c r="E87" s="89">
        <f>IF($J87="","",+J87/2)</f>
        <v/>
      </c>
      <c r="F87" s="89">
        <f>IF($J87="","",+E87/2)</f>
        <v/>
      </c>
      <c r="G87" s="89">
        <f>IF($J87="","",+F87)</f>
        <v/>
      </c>
      <c r="H87" s="89" t="n"/>
      <c r="I87" s="89" t="n"/>
    </row>
    <row r="88" hidden="1" s="103">
      <c r="E88" s="89">
        <f>IF($J88="","",+J88/2)</f>
        <v/>
      </c>
      <c r="F88" s="89">
        <f>IF($J88="","",+E88/2)</f>
        <v/>
      </c>
      <c r="G88" s="89">
        <f>IF($J88="","",+F88)</f>
        <v/>
      </c>
      <c r="H88" s="89" t="n"/>
      <c r="I88" s="89" t="n"/>
    </row>
    <row r="89" hidden="1" s="103">
      <c r="E89" s="89">
        <f>IF($J89="","",+J89/2)</f>
        <v/>
      </c>
      <c r="F89" s="89">
        <f>IF($J89="","",+E89/2)</f>
        <v/>
      </c>
      <c r="G89" s="89">
        <f>IF($J89="","",+F89)</f>
        <v/>
      </c>
      <c r="H89" s="89" t="n"/>
      <c r="I89" s="89" t="n"/>
    </row>
    <row r="90" hidden="1" s="103">
      <c r="E90" s="89">
        <f>IF($J90="","",+J90/2)</f>
        <v/>
      </c>
      <c r="F90" s="89">
        <f>IF($J90="","",+E90/2)</f>
        <v/>
      </c>
      <c r="G90" s="89">
        <f>IF($J90="","",+F90)</f>
        <v/>
      </c>
      <c r="H90" s="89" t="n"/>
      <c r="I90" s="89" t="n"/>
    </row>
    <row r="91" hidden="1" s="103">
      <c r="E91" s="89">
        <f>IF($J91="","",+J91/2)</f>
        <v/>
      </c>
      <c r="F91" s="89">
        <f>IF($J91="","",+E91/2)</f>
        <v/>
      </c>
      <c r="G91" s="89">
        <f>IF($J91="","",+F91)</f>
        <v/>
      </c>
      <c r="H91" s="89" t="n"/>
      <c r="I91" s="89" t="n"/>
    </row>
    <row r="92" hidden="1" s="103">
      <c r="E92" s="89">
        <f>IF($J92="","",+J92/2)</f>
        <v/>
      </c>
      <c r="F92" s="89">
        <f>IF($J92="","",+E92/2)</f>
        <v/>
      </c>
      <c r="G92" s="89">
        <f>IF($J92="","",+F92)</f>
        <v/>
      </c>
      <c r="H92" s="89" t="n"/>
      <c r="I92" s="89" t="n"/>
    </row>
    <row r="93" hidden="1" s="103">
      <c r="E93" s="89">
        <f>IF($J93="","",+J93/2)</f>
        <v/>
      </c>
      <c r="F93" s="89">
        <f>IF($J93="","",+E93/2)</f>
        <v/>
      </c>
      <c r="G93" s="89">
        <f>IF($J93="","",+F93)</f>
        <v/>
      </c>
      <c r="H93" s="89" t="n"/>
      <c r="I93" s="89" t="n"/>
    </row>
    <row r="94" hidden="1" s="103">
      <c r="E94" s="89">
        <f>IF($J94="","",+J94/2)</f>
        <v/>
      </c>
      <c r="F94" s="89">
        <f>IF($J94="","",+E94/2)</f>
        <v/>
      </c>
      <c r="G94" s="89">
        <f>IF($J94="","",+F94)</f>
        <v/>
      </c>
      <c r="H94" s="89" t="n"/>
      <c r="I94" s="89" t="n"/>
    </row>
    <row r="95" hidden="1" s="103">
      <c r="E95" s="89">
        <f>IF($J95="","",+J95/2)</f>
        <v/>
      </c>
      <c r="F95" s="89">
        <f>IF($J95="","",+E95/2)</f>
        <v/>
      </c>
      <c r="G95" s="89">
        <f>IF($J95="","",+F95)</f>
        <v/>
      </c>
      <c r="H95" s="89" t="n"/>
      <c r="I95" s="89" t="n"/>
    </row>
    <row r="96" hidden="1" s="103">
      <c r="E96" s="89">
        <f>IF($J96="","",+J96/2)</f>
        <v/>
      </c>
      <c r="F96" s="89">
        <f>IF($J96="","",+E96/2)</f>
        <v/>
      </c>
      <c r="G96" s="89">
        <f>IF($J96="","",+F96)</f>
        <v/>
      </c>
      <c r="H96" s="89" t="n"/>
      <c r="I96" s="89" t="n"/>
    </row>
    <row r="97" hidden="1" s="103">
      <c r="E97" s="89">
        <f>IF($J97="","",+J97/2)</f>
        <v/>
      </c>
      <c r="F97" s="89">
        <f>IF($J97="","",+E97/2)</f>
        <v/>
      </c>
      <c r="G97" s="89">
        <f>IF($J97="","",+F97)</f>
        <v/>
      </c>
      <c r="H97" s="89" t="n"/>
      <c r="I97" s="89" t="n"/>
    </row>
    <row r="98" hidden="1" s="103">
      <c r="E98" s="89">
        <f>IF($J98="","",+J98/2)</f>
        <v/>
      </c>
      <c r="F98" s="89">
        <f>IF($J98="","",+E98/2)</f>
        <v/>
      </c>
      <c r="G98" s="89">
        <f>IF($J98="","",+F98)</f>
        <v/>
      </c>
      <c r="H98" s="89" t="n"/>
      <c r="I98" s="89" t="n"/>
    </row>
    <row r="99" hidden="1" s="103">
      <c r="E99" s="89">
        <f>IF($J99="","",+J99/2)</f>
        <v/>
      </c>
      <c r="F99" s="89">
        <f>IF($J99="","",+E99/2)</f>
        <v/>
      </c>
      <c r="G99" s="89">
        <f>IF($J99="","",+F99)</f>
        <v/>
      </c>
      <c r="H99" s="89" t="n"/>
      <c r="I99" s="89" t="n"/>
    </row>
    <row r="100" hidden="1" s="103">
      <c r="E100" s="89">
        <f>IF($J100="","",+J100/2)</f>
        <v/>
      </c>
      <c r="F100" s="89">
        <f>IF($J100="","",+E100/2)</f>
        <v/>
      </c>
      <c r="G100" s="89">
        <f>IF($J100="","",+F100)</f>
        <v/>
      </c>
      <c r="H100" s="89" t="n"/>
      <c r="I100" s="89" t="n"/>
    </row>
    <row r="101" hidden="1" s="103">
      <c r="E101" s="89">
        <f>IF($J101="","",+J101/2)</f>
        <v/>
      </c>
      <c r="F101" s="89">
        <f>IF($J101="","",+E101/2)</f>
        <v/>
      </c>
      <c r="G101" s="89">
        <f>IF($J101="","",+F101)</f>
        <v/>
      </c>
      <c r="H101" s="89" t="n"/>
      <c r="I101" s="89" t="n"/>
    </row>
    <row r="102" hidden="1" s="103">
      <c r="E102" s="89">
        <f>IF($J102="","",+J102/2)</f>
        <v/>
      </c>
      <c r="F102" s="89">
        <f>IF($J102="","",+E102/2)</f>
        <v/>
      </c>
      <c r="G102" s="89">
        <f>IF($J102="","",+F102)</f>
        <v/>
      </c>
      <c r="H102" s="89" t="n"/>
      <c r="I102" s="89" t="n"/>
    </row>
    <row r="103" hidden="1" s="103">
      <c r="E103" s="89">
        <f>IF($J103="","",+J103/2)</f>
        <v/>
      </c>
      <c r="F103" s="89">
        <f>IF($J103="","",+E103/2)</f>
        <v/>
      </c>
      <c r="G103" s="89">
        <f>IF($J103="","",+F103)</f>
        <v/>
      </c>
      <c r="H103" s="89" t="n"/>
      <c r="I103" s="89" t="n"/>
    </row>
    <row r="104" hidden="1" s="103">
      <c r="E104" s="89">
        <f>IF($J104="","",+J104/2)</f>
        <v/>
      </c>
      <c r="F104" s="89">
        <f>IF($J104="","",+E104/2)</f>
        <v/>
      </c>
      <c r="G104" s="89">
        <f>IF($J104="","",+F104)</f>
        <v/>
      </c>
      <c r="H104" s="89" t="n"/>
      <c r="I104" s="89" t="n"/>
    </row>
    <row r="105" hidden="1" s="103">
      <c r="E105" s="89">
        <f>IF($J105="","",+J105/2)</f>
        <v/>
      </c>
      <c r="F105" s="89">
        <f>IF($J105="","",+E105/2)</f>
        <v/>
      </c>
      <c r="G105" s="89">
        <f>IF($J105="","",+F105)</f>
        <v/>
      </c>
      <c r="H105" s="89" t="n"/>
      <c r="I105" s="89" t="n"/>
    </row>
    <row r="106" hidden="1" s="103">
      <c r="E106" s="89">
        <f>IF($J106="","",+J106/2)</f>
        <v/>
      </c>
      <c r="F106" s="89">
        <f>IF($J106="","",+E106/2)</f>
        <v/>
      </c>
      <c r="G106" s="89">
        <f>IF($J106="","",+F106)</f>
        <v/>
      </c>
      <c r="H106" s="89" t="n"/>
      <c r="I106" s="89" t="n"/>
    </row>
    <row r="107" hidden="1" s="103">
      <c r="E107" s="89">
        <f>IF($J107="","",+J107/2)</f>
        <v/>
      </c>
      <c r="F107" s="89">
        <f>IF($J107="","",+E107/2)</f>
        <v/>
      </c>
      <c r="G107" s="89">
        <f>IF($J107="","",+F107)</f>
        <v/>
      </c>
      <c r="H107" s="89" t="n"/>
      <c r="I107" s="89" t="n"/>
    </row>
    <row r="108" hidden="1" s="103">
      <c r="E108" s="89">
        <f>IF($J108="","",+J108/2)</f>
        <v/>
      </c>
      <c r="F108" s="89">
        <f>IF($J108="","",+E108/2)</f>
        <v/>
      </c>
      <c r="G108" s="89">
        <f>IF($J108="","",+F108)</f>
        <v/>
      </c>
      <c r="H108" s="89" t="n"/>
      <c r="I108" s="89" t="n"/>
    </row>
    <row r="109" hidden="1" s="103">
      <c r="E109" s="89">
        <f>IF($J109="","",+J109/2)</f>
        <v/>
      </c>
      <c r="F109" s="89">
        <f>IF($J109="","",+E109/2)</f>
        <v/>
      </c>
      <c r="G109" s="89">
        <f>IF($J109="","",+F109)</f>
        <v/>
      </c>
      <c r="H109" s="89" t="n"/>
      <c r="I109" s="89" t="n"/>
    </row>
    <row r="110" hidden="1" s="103">
      <c r="E110" s="89">
        <f>IF($J110="","",+J110/2)</f>
        <v/>
      </c>
      <c r="F110" s="89">
        <f>IF($J110="","",+E110/2)</f>
        <v/>
      </c>
      <c r="G110" s="89">
        <f>IF($J110="","",+F110)</f>
        <v/>
      </c>
      <c r="H110" s="89" t="n"/>
      <c r="I110" s="89" t="n"/>
    </row>
    <row r="111" hidden="1" s="103">
      <c r="E111" s="89">
        <f>IF($J111="","",+J111/2)</f>
        <v/>
      </c>
      <c r="F111" s="89">
        <f>IF($J111="","",+E111/2)</f>
        <v/>
      </c>
      <c r="G111" s="89">
        <f>IF($J111="","",+F111)</f>
        <v/>
      </c>
      <c r="H111" s="89" t="n"/>
      <c r="I111" s="89" t="n"/>
    </row>
    <row r="112" hidden="1" s="103">
      <c r="E112" s="89">
        <f>IF($J112="","",+J112/2)</f>
        <v/>
      </c>
      <c r="F112" s="89">
        <f>IF($J112="","",+E112/2)</f>
        <v/>
      </c>
      <c r="G112" s="89">
        <f>IF($J112="","",+F112)</f>
        <v/>
      </c>
      <c r="H112" s="89" t="n"/>
      <c r="I112" s="89" t="n"/>
    </row>
    <row r="113" hidden="1" s="103">
      <c r="E113" s="89">
        <f>IF($J113="","",+J113/2)</f>
        <v/>
      </c>
      <c r="F113" s="89">
        <f>IF($J113="","",+E113/2)</f>
        <v/>
      </c>
      <c r="G113" s="89">
        <f>IF($J113="","",+F113)</f>
        <v/>
      </c>
      <c r="H113" s="89" t="n"/>
      <c r="I113" s="89" t="n"/>
    </row>
    <row r="114" hidden="1" s="103">
      <c r="E114" s="89">
        <f>IF($J114="","",+J114/2)</f>
        <v/>
      </c>
      <c r="F114" s="89">
        <f>IF($J114="","",+E114/2)</f>
        <v/>
      </c>
      <c r="G114" s="89">
        <f>IF($J114="","",+F114)</f>
        <v/>
      </c>
      <c r="H114" s="89" t="n"/>
      <c r="I114" s="89" t="n"/>
    </row>
    <row r="115" hidden="1" s="103">
      <c r="E115" s="89">
        <f>IF($J115="","",+J115/2)</f>
        <v/>
      </c>
      <c r="F115" s="89">
        <f>IF($J115="","",+E115/2)</f>
        <v/>
      </c>
      <c r="G115" s="89">
        <f>IF($J115="","",+F115)</f>
        <v/>
      </c>
      <c r="H115" s="89" t="n"/>
      <c r="I115" s="89" t="n"/>
    </row>
    <row r="116" hidden="1" s="103">
      <c r="E116" s="89">
        <f>IF($J116="","",+J116/2)</f>
        <v/>
      </c>
      <c r="F116" s="89">
        <f>IF($J116="","",+E116/2)</f>
        <v/>
      </c>
      <c r="G116" s="89">
        <f>IF($J116="","",+F116)</f>
        <v/>
      </c>
      <c r="H116" s="89" t="n"/>
      <c r="I116" s="89" t="n"/>
    </row>
    <row r="117" hidden="1" s="103">
      <c r="E117" s="89">
        <f>IF($J117="","",+J117/2)</f>
        <v/>
      </c>
      <c r="F117" s="89">
        <f>IF($J117="","",+E117/2)</f>
        <v/>
      </c>
      <c r="G117" s="89">
        <f>IF($J117="","",+F117)</f>
        <v/>
      </c>
      <c r="H117" s="89" t="n"/>
      <c r="I117" s="89" t="n"/>
    </row>
    <row r="118" hidden="1" s="103">
      <c r="E118" s="89">
        <f>IF($J118="","",+J118/2)</f>
        <v/>
      </c>
      <c r="F118" s="89">
        <f>IF($J118="","",+E118/2)</f>
        <v/>
      </c>
      <c r="G118" s="89">
        <f>IF($J118="","",+F118)</f>
        <v/>
      </c>
      <c r="H118" s="89" t="n"/>
      <c r="I118" s="89" t="n"/>
    </row>
    <row r="119" hidden="1" s="103">
      <c r="E119" s="89">
        <f>IF($J119="","",+J119/2)</f>
        <v/>
      </c>
      <c r="F119" s="89">
        <f>IF($J119="","",+E119/2)</f>
        <v/>
      </c>
      <c r="G119" s="89">
        <f>IF($J119="","",+F119)</f>
        <v/>
      </c>
      <c r="H119" s="89" t="n"/>
      <c r="I119" s="89" t="n"/>
    </row>
    <row r="120" hidden="1" s="103">
      <c r="E120" s="89">
        <f>IF($J120="","",+J120/2)</f>
        <v/>
      </c>
      <c r="F120" s="89">
        <f>IF($J120="","",+E120/2)</f>
        <v/>
      </c>
      <c r="G120" s="89">
        <f>IF($J120="","",+F120)</f>
        <v/>
      </c>
      <c r="H120" s="89" t="n"/>
      <c r="I120" s="89" t="n"/>
    </row>
    <row r="121" hidden="1" s="103">
      <c r="E121" s="89">
        <f>IF($J121="","",+J121/2)</f>
        <v/>
      </c>
      <c r="F121" s="89">
        <f>IF($J121="","",+E121/2)</f>
        <v/>
      </c>
      <c r="G121" s="89">
        <f>IF($J121="","",+F121)</f>
        <v/>
      </c>
      <c r="H121" s="89" t="n"/>
      <c r="I121" s="89" t="n"/>
    </row>
    <row r="122" hidden="1" s="103">
      <c r="E122" s="89">
        <f>IF($J122="","",+J122/2)</f>
        <v/>
      </c>
      <c r="F122" s="89">
        <f>IF($J122="","",+E122/2)</f>
        <v/>
      </c>
      <c r="G122" s="89">
        <f>IF($J122="","",+F122)</f>
        <v/>
      </c>
      <c r="H122" s="89" t="n"/>
      <c r="I122" s="89" t="n"/>
    </row>
    <row r="123" hidden="1" s="103">
      <c r="E123" s="89">
        <f>IF($J123="","",+J123/2)</f>
        <v/>
      </c>
      <c r="F123" s="89">
        <f>IF($J123="","",+E123/2)</f>
        <v/>
      </c>
      <c r="G123" s="89">
        <f>IF($J123="","",+F123)</f>
        <v/>
      </c>
      <c r="H123" s="89" t="n"/>
      <c r="I123" s="89" t="n"/>
    </row>
    <row r="124" hidden="1" s="103">
      <c r="E124" s="89">
        <f>IF($J124="","",+J124/2)</f>
        <v/>
      </c>
      <c r="F124" s="89">
        <f>IF($J124="","",+E124/2)</f>
        <v/>
      </c>
      <c r="G124" s="89">
        <f>IF($J124="","",+F124)</f>
        <v/>
      </c>
      <c r="H124" s="89" t="n"/>
      <c r="I124" s="89" t="n"/>
    </row>
    <row r="125" hidden="1" s="103">
      <c r="E125" s="89">
        <f>IF($J125="","",+J125/2)</f>
        <v/>
      </c>
      <c r="F125" s="89">
        <f>IF($J125="","",+E125/2)</f>
        <v/>
      </c>
      <c r="G125" s="89">
        <f>IF($J125="","",+F125)</f>
        <v/>
      </c>
      <c r="H125" s="89" t="n"/>
      <c r="I125" s="89" t="n"/>
    </row>
    <row r="126" hidden="1" s="103">
      <c r="E126" s="89">
        <f>IF($J126="","",+J126/2)</f>
        <v/>
      </c>
      <c r="F126" s="89">
        <f>IF($J126="","",+E126/2)</f>
        <v/>
      </c>
      <c r="G126" s="89">
        <f>IF($J126="","",+F126)</f>
        <v/>
      </c>
      <c r="H126" s="89" t="n"/>
      <c r="I126" s="89" t="n"/>
    </row>
    <row r="127" hidden="1" s="103">
      <c r="E127" s="89">
        <f>IF($J127="","",+J127/2)</f>
        <v/>
      </c>
      <c r="F127" s="89">
        <f>IF($J127="","",+E127/2)</f>
        <v/>
      </c>
      <c r="G127" s="89">
        <f>IF($J127="","",+F127)</f>
        <v/>
      </c>
      <c r="H127" s="89" t="n"/>
      <c r="I127" s="89" t="n"/>
    </row>
    <row r="128" hidden="1" s="103">
      <c r="E128" s="89">
        <f>IF($J128="","",+J128/2)</f>
        <v/>
      </c>
      <c r="F128" s="89">
        <f>IF($J128="","",+E128/2)</f>
        <v/>
      </c>
      <c r="G128" s="89">
        <f>IF($J128="","",+F128)</f>
        <v/>
      </c>
      <c r="H128" s="89" t="n"/>
      <c r="I128" s="89" t="n"/>
    </row>
    <row r="129" hidden="1" s="103">
      <c r="E129" s="89">
        <f>IF($J129="","",+J129/2)</f>
        <v/>
      </c>
      <c r="F129" s="89">
        <f>IF($J129="","",+E129/2)</f>
        <v/>
      </c>
      <c r="G129" s="89">
        <f>IF($J129="","",+F129)</f>
        <v/>
      </c>
      <c r="H129" s="89" t="n"/>
      <c r="I129" s="89" t="n"/>
    </row>
    <row r="130" hidden="1" s="103">
      <c r="E130" s="89">
        <f>IF($J130="","",+J130/2)</f>
        <v/>
      </c>
      <c r="F130" s="89">
        <f>IF($J130="","",+E130/2)</f>
        <v/>
      </c>
      <c r="G130" s="89">
        <f>IF($J130="","",+F130)</f>
        <v/>
      </c>
      <c r="H130" s="89" t="n"/>
      <c r="I130" s="89" t="n"/>
    </row>
    <row r="131" hidden="1" s="103">
      <c r="E131" s="89">
        <f>IF($J131="","",+J131/2)</f>
        <v/>
      </c>
      <c r="F131" s="89">
        <f>IF($J131="","",+E131/2)</f>
        <v/>
      </c>
      <c r="G131" s="89">
        <f>IF($J131="","",+F131)</f>
        <v/>
      </c>
      <c r="H131" s="89" t="n"/>
      <c r="I131" s="89" t="n"/>
    </row>
    <row r="132" hidden="1" s="103">
      <c r="E132" s="89">
        <f>IF($J132="","",+J132/2)</f>
        <v/>
      </c>
      <c r="F132" s="89">
        <f>IF($J132="","",+E132/2)</f>
        <v/>
      </c>
      <c r="G132" s="89">
        <f>IF($J132="","",+F132)</f>
        <v/>
      </c>
      <c r="H132" s="89" t="n"/>
      <c r="I132" s="89" t="n"/>
    </row>
    <row r="133" hidden="1" s="103">
      <c r="E133" s="89">
        <f>IF($J133="","",+J133/2)</f>
        <v/>
      </c>
      <c r="F133" s="89">
        <f>IF($J133="","",+E133/2)</f>
        <v/>
      </c>
      <c r="G133" s="89">
        <f>IF($J133="","",+F133)</f>
        <v/>
      </c>
      <c r="H133" s="89" t="n"/>
      <c r="I133" s="89" t="n"/>
    </row>
    <row r="134" hidden="1" s="103">
      <c r="E134" s="89">
        <f>IF($J134="","",+J134/2)</f>
        <v/>
      </c>
      <c r="F134" s="89">
        <f>IF($J134="","",+E134/2)</f>
        <v/>
      </c>
      <c r="G134" s="89">
        <f>IF($J134="","",+F134)</f>
        <v/>
      </c>
      <c r="H134" s="89" t="n"/>
      <c r="I134" s="89" t="n"/>
    </row>
    <row r="135" hidden="1" s="103">
      <c r="E135" s="89">
        <f>IF($J135="","",+J135/2)</f>
        <v/>
      </c>
      <c r="F135" s="89">
        <f>IF($J135="","",+E135/2)</f>
        <v/>
      </c>
      <c r="G135" s="89">
        <f>IF($J135="","",+F135)</f>
        <v/>
      </c>
      <c r="H135" s="89" t="n"/>
      <c r="I135" s="89" t="n"/>
    </row>
    <row r="136" hidden="1" s="103">
      <c r="E136" s="89">
        <f>IF($J136="","",+J136/2)</f>
        <v/>
      </c>
      <c r="F136" s="89">
        <f>IF($J136="","",+E136/2)</f>
        <v/>
      </c>
      <c r="G136" s="89">
        <f>IF($J136="","",+F136)</f>
        <v/>
      </c>
      <c r="H136" s="89" t="n"/>
      <c r="I136" s="89" t="n"/>
    </row>
    <row r="137" hidden="1" s="103">
      <c r="E137" s="89">
        <f>IF($J137="","",+J137/2)</f>
        <v/>
      </c>
      <c r="F137" s="89">
        <f>IF($J137="","",+E137/2)</f>
        <v/>
      </c>
      <c r="G137" s="89">
        <f>IF($J137="","",+F137)</f>
        <v/>
      </c>
      <c r="H137" s="89" t="n"/>
      <c r="I137" s="89" t="n"/>
    </row>
    <row r="138" hidden="1" s="103">
      <c r="E138" s="89">
        <f>IF($J138="","",+J138/2)</f>
        <v/>
      </c>
      <c r="F138" s="89">
        <f>IF($J138="","",+E138/2)</f>
        <v/>
      </c>
      <c r="G138" s="89">
        <f>IF($J138="","",+F138)</f>
        <v/>
      </c>
      <c r="H138" s="89" t="n"/>
      <c r="I138" s="89" t="n"/>
    </row>
    <row r="139" hidden="1" s="103">
      <c r="E139" s="89">
        <f>IF($J139="","",+J139/2)</f>
        <v/>
      </c>
      <c r="F139" s="89">
        <f>IF($J139="","",+E139/2)</f>
        <v/>
      </c>
      <c r="G139" s="89">
        <f>IF($J139="","",+F139)</f>
        <v/>
      </c>
      <c r="H139" s="89" t="n"/>
      <c r="I139" s="89" t="n"/>
    </row>
    <row r="140" hidden="1" s="103">
      <c r="E140" s="89">
        <f>IF($J140="","",+J140/2)</f>
        <v/>
      </c>
      <c r="F140" s="89">
        <f>IF($J140="","",+E140/2)</f>
        <v/>
      </c>
      <c r="G140" s="89">
        <f>IF($J140="","",+F140)</f>
        <v/>
      </c>
      <c r="H140" s="89" t="n"/>
      <c r="I140" s="89" t="n"/>
    </row>
    <row r="141" hidden="1" s="103">
      <c r="E141" s="89">
        <f>IF($J141="","",+J141/2)</f>
        <v/>
      </c>
      <c r="F141" s="89">
        <f>IF($J141="","",+E141/2)</f>
        <v/>
      </c>
      <c r="G141" s="89">
        <f>IF($J141="","",+F141)</f>
        <v/>
      </c>
      <c r="H141" s="89" t="n"/>
      <c r="I141" s="89" t="n"/>
    </row>
    <row r="142" hidden="1" s="103">
      <c r="E142" s="89">
        <f>IF($J142="","",+J142/2)</f>
        <v/>
      </c>
      <c r="F142" s="89">
        <f>IF($J142="","",+E142/2)</f>
        <v/>
      </c>
      <c r="G142" s="89">
        <f>IF($J142="","",+F142)</f>
        <v/>
      </c>
      <c r="H142" s="89" t="n"/>
      <c r="I142" s="89" t="n"/>
    </row>
    <row r="143" hidden="1" s="103">
      <c r="E143" s="89">
        <f>IF($J143="","",+J143/2)</f>
        <v/>
      </c>
      <c r="F143" s="89">
        <f>IF($J143="","",+E143/2)</f>
        <v/>
      </c>
      <c r="G143" s="89">
        <f>IF($J143="","",+F143)</f>
        <v/>
      </c>
      <c r="H143" s="89" t="n"/>
      <c r="I143" s="89" t="n"/>
    </row>
    <row r="144" hidden="1" s="103">
      <c r="E144" s="89">
        <f>IF($J144="","",+J144/2)</f>
        <v/>
      </c>
      <c r="F144" s="89">
        <f>IF($J144="","",+E144/2)</f>
        <v/>
      </c>
      <c r="G144" s="89">
        <f>IF($J144="","",+F144)</f>
        <v/>
      </c>
      <c r="H144" s="89" t="n"/>
      <c r="I144" s="89" t="n"/>
    </row>
    <row r="145" hidden="1" s="103">
      <c r="E145" s="89">
        <f>IF($J145="","",+J145/2)</f>
        <v/>
      </c>
      <c r="F145" s="89">
        <f>IF($J145="","",+E145/2)</f>
        <v/>
      </c>
      <c r="G145" s="89">
        <f>IF($J145="","",+F145)</f>
        <v/>
      </c>
      <c r="H145" s="89" t="n"/>
      <c r="I145" s="89" t="n"/>
    </row>
    <row r="146" hidden="1" s="103">
      <c r="E146" s="89">
        <f>IF($J146="","",+J146/2)</f>
        <v/>
      </c>
      <c r="F146" s="89">
        <f>IF($J146="","",+E146/2)</f>
        <v/>
      </c>
      <c r="G146" s="89">
        <f>IF($J146="","",+F146)</f>
        <v/>
      </c>
      <c r="H146" s="89" t="n"/>
      <c r="I146" s="89" t="n"/>
    </row>
    <row r="147" hidden="1" s="103">
      <c r="E147" s="89">
        <f>IF($J147="","",+J147/2)</f>
        <v/>
      </c>
      <c r="F147" s="89">
        <f>IF($J147="","",+E147/2)</f>
        <v/>
      </c>
      <c r="G147" s="89">
        <f>IF($J147="","",+F147)</f>
        <v/>
      </c>
      <c r="H147" s="89" t="n"/>
      <c r="I147" s="89" t="n"/>
    </row>
    <row r="148" hidden="1" s="103">
      <c r="E148" s="89">
        <f>IF($J148="","",+J148/2)</f>
        <v/>
      </c>
      <c r="F148" s="89">
        <f>IF($J148="","",+E148/2)</f>
        <v/>
      </c>
      <c r="G148" s="89">
        <f>IF($J148="","",+F148)</f>
        <v/>
      </c>
      <c r="H148" s="89" t="n"/>
      <c r="I148" s="89" t="n"/>
    </row>
    <row r="149" hidden="1" s="103">
      <c r="E149" s="89">
        <f>IF($J149="","",+J149/2)</f>
        <v/>
      </c>
      <c r="F149" s="89">
        <f>IF($J149="","",+E149/2)</f>
        <v/>
      </c>
      <c r="G149" s="89">
        <f>IF($J149="","",+F149)</f>
        <v/>
      </c>
      <c r="H149" s="89" t="n"/>
      <c r="I149" s="89" t="n"/>
    </row>
    <row r="150" hidden="1" s="103">
      <c r="E150" s="89">
        <f>IF($J150="","",+J150/2)</f>
        <v/>
      </c>
      <c r="F150" s="89">
        <f>IF($J150="","",+E150/2)</f>
        <v/>
      </c>
      <c r="G150" s="89">
        <f>IF($J150="","",+F150)</f>
        <v/>
      </c>
      <c r="H150" s="89" t="n"/>
      <c r="I150" s="89" t="n"/>
    </row>
    <row r="151" hidden="1" s="103">
      <c r="E151" s="89">
        <f>IF($J151="","",+J151/2)</f>
        <v/>
      </c>
      <c r="F151" s="89">
        <f>IF($J151="","",+E151/2)</f>
        <v/>
      </c>
      <c r="G151" s="89">
        <f>IF($J151="","",+F151)</f>
        <v/>
      </c>
      <c r="H151" s="89" t="n"/>
      <c r="I151" s="89" t="n"/>
    </row>
    <row r="152" hidden="1" s="103">
      <c r="E152" s="89">
        <f>IF($J152="","",+J152/2)</f>
        <v/>
      </c>
      <c r="F152" s="89">
        <f>IF($J152="","",+E152/2)</f>
        <v/>
      </c>
      <c r="G152" s="89">
        <f>IF($J152="","",+F152)</f>
        <v/>
      </c>
      <c r="H152" s="89" t="n"/>
      <c r="I152" s="89" t="n"/>
    </row>
    <row r="153" hidden="1" s="103">
      <c r="E153" s="89">
        <f>IF($J153="","",+J153/2)</f>
        <v/>
      </c>
      <c r="F153" s="89">
        <f>IF($J153="","",+E153/2)</f>
        <v/>
      </c>
      <c r="G153" s="89">
        <f>IF($J153="","",+F153)</f>
        <v/>
      </c>
      <c r="H153" s="89" t="n"/>
      <c r="I153" s="89" t="n"/>
    </row>
    <row r="154" hidden="1" s="103">
      <c r="E154" s="89">
        <f>IF($J154="","",+J154/2)</f>
        <v/>
      </c>
      <c r="F154" s="89">
        <f>IF($J154="","",+E154/2)</f>
        <v/>
      </c>
      <c r="G154" s="89">
        <f>IF($J154="","",+F154)</f>
        <v/>
      </c>
      <c r="H154" s="89" t="n"/>
      <c r="I154" s="89" t="n"/>
    </row>
    <row r="155" hidden="1" s="103">
      <c r="E155" s="89">
        <f>IF($J155="","",+J155/2)</f>
        <v/>
      </c>
      <c r="F155" s="89">
        <f>IF($J155="","",+E155/2)</f>
        <v/>
      </c>
      <c r="G155" s="89">
        <f>IF($J155="","",+F155)</f>
        <v/>
      </c>
      <c r="H155" s="89" t="n"/>
      <c r="I155" s="89" t="n"/>
    </row>
    <row r="156" hidden="1" s="103">
      <c r="E156" s="89">
        <f>IF($J156="","",+J156/2)</f>
        <v/>
      </c>
      <c r="F156" s="89">
        <f>IF($J156="","",+E156/2)</f>
        <v/>
      </c>
      <c r="G156" s="89">
        <f>IF($J156="","",+F156)</f>
        <v/>
      </c>
      <c r="H156" s="89" t="n"/>
      <c r="I156" s="89" t="n"/>
    </row>
    <row r="157" hidden="1" s="103">
      <c r="E157" s="89">
        <f>IF($J157="","",+J157/2)</f>
        <v/>
      </c>
      <c r="F157" s="89">
        <f>IF($J157="","",+E157/2)</f>
        <v/>
      </c>
      <c r="G157" s="89">
        <f>IF($J157="","",+F157)</f>
        <v/>
      </c>
      <c r="H157" s="89" t="n"/>
      <c r="I157" s="89" t="n"/>
    </row>
    <row r="158" hidden="1" s="103">
      <c r="E158" s="89">
        <f>IF($J158="","",+J158/2)</f>
        <v/>
      </c>
      <c r="F158" s="89">
        <f>IF($J158="","",+E158/2)</f>
        <v/>
      </c>
      <c r="G158" s="89">
        <f>IF($J158="","",+F158)</f>
        <v/>
      </c>
      <c r="H158" s="89" t="n"/>
      <c r="I158" s="89" t="n"/>
    </row>
    <row r="159" hidden="1" s="103">
      <c r="E159" s="89">
        <f>IF($J159="","",+J159/2)</f>
        <v/>
      </c>
      <c r="F159" s="89">
        <f>IF($J159="","",+E159/2)</f>
        <v/>
      </c>
      <c r="G159" s="89">
        <f>IF($J159="","",+F159)</f>
        <v/>
      </c>
      <c r="H159" s="89" t="n"/>
      <c r="I159" s="89" t="n"/>
    </row>
    <row r="160" hidden="1" s="103">
      <c r="E160" s="89">
        <f>IF($J160="","",+J160/2)</f>
        <v/>
      </c>
      <c r="F160" s="89">
        <f>IF($J160="","",+E160/2)</f>
        <v/>
      </c>
      <c r="G160" s="89">
        <f>IF($J160="","",+F160)</f>
        <v/>
      </c>
      <c r="H160" s="89" t="n"/>
      <c r="I160" s="89" t="n"/>
    </row>
    <row r="161" hidden="1" s="103">
      <c r="E161" s="89">
        <f>IF($J161="","",+J161/2)</f>
        <v/>
      </c>
      <c r="F161" s="89">
        <f>IF($J161="","",+E161/2)</f>
        <v/>
      </c>
      <c r="G161" s="89">
        <f>IF($J161="","",+F161)</f>
        <v/>
      </c>
      <c r="H161" s="89" t="n"/>
      <c r="I161" s="89" t="n"/>
    </row>
    <row r="162" hidden="1" s="103">
      <c r="E162" s="89">
        <f>IF($J162="","",+J162/2)</f>
        <v/>
      </c>
      <c r="F162" s="89">
        <f>IF($J162="","",+E162/2)</f>
        <v/>
      </c>
      <c r="G162" s="89">
        <f>IF($J162="","",+F162)</f>
        <v/>
      </c>
      <c r="H162" s="89" t="n"/>
      <c r="I162" s="89" t="n"/>
    </row>
    <row r="163" hidden="1" s="103">
      <c r="E163" s="89">
        <f>IF($J163="","",+J163/2)</f>
        <v/>
      </c>
      <c r="F163" s="89">
        <f>IF($J163="","",+E163/2)</f>
        <v/>
      </c>
      <c r="G163" s="89">
        <f>IF($J163="","",+F163)</f>
        <v/>
      </c>
      <c r="H163" s="89" t="n"/>
      <c r="I163" s="89" t="n"/>
    </row>
    <row r="164" hidden="1" s="103">
      <c r="E164" s="89">
        <f>IF($J164="","",+J164/2)</f>
        <v/>
      </c>
      <c r="F164" s="89">
        <f>IF($J164="","",+E164/2)</f>
        <v/>
      </c>
      <c r="G164" s="89">
        <f>IF($J164="","",+F164)</f>
        <v/>
      </c>
      <c r="H164" s="89" t="n"/>
      <c r="I164" s="89" t="n"/>
    </row>
    <row r="165" hidden="1" s="103">
      <c r="E165" s="89">
        <f>IF($J165="","",+J165/2)</f>
        <v/>
      </c>
      <c r="F165" s="89">
        <f>IF($J165="","",+E165/2)</f>
        <v/>
      </c>
      <c r="G165" s="89">
        <f>IF($J165="","",+F165)</f>
        <v/>
      </c>
      <c r="H165" s="89" t="n"/>
      <c r="I165" s="89" t="n"/>
    </row>
    <row r="166" hidden="1" s="103">
      <c r="E166" s="89">
        <f>IF($J166="","",+J166/2)</f>
        <v/>
      </c>
      <c r="F166" s="89">
        <f>IF($J166="","",+E166/2)</f>
        <v/>
      </c>
      <c r="G166" s="89">
        <f>IF($J166="","",+F166)</f>
        <v/>
      </c>
      <c r="H166" s="89" t="n"/>
      <c r="I166" s="89" t="n"/>
    </row>
    <row r="167" hidden="1" s="103">
      <c r="E167" s="89">
        <f>IF($J167="","",+J167/2)</f>
        <v/>
      </c>
      <c r="F167" s="89">
        <f>IF($J167="","",+E167/2)</f>
        <v/>
      </c>
      <c r="G167" s="89">
        <f>IF($J167="","",+F167)</f>
        <v/>
      </c>
      <c r="H167" s="89" t="n"/>
      <c r="I167" s="89" t="n"/>
    </row>
    <row r="168" hidden="1" s="103">
      <c r="E168" s="89">
        <f>IF($J168="","",+J168/2)</f>
        <v/>
      </c>
      <c r="F168" s="89">
        <f>IF($J168="","",+E168/2)</f>
        <v/>
      </c>
      <c r="G168" s="89">
        <f>IF($J168="","",+F168)</f>
        <v/>
      </c>
      <c r="H168" s="89" t="n"/>
      <c r="I168" s="89" t="n"/>
    </row>
    <row r="169" hidden="1" s="103">
      <c r="E169" s="89">
        <f>IF($J169="","",+J169/2)</f>
        <v/>
      </c>
      <c r="F169" s="89">
        <f>IF($J169="","",+E169/2)</f>
        <v/>
      </c>
      <c r="G169" s="89">
        <f>IF($J169="","",+F169)</f>
        <v/>
      </c>
      <c r="H169" s="89" t="n"/>
      <c r="I169" s="89" t="n"/>
    </row>
    <row r="170" hidden="1" s="103">
      <c r="E170" s="89">
        <f>IF($J170="","",+J170/2)</f>
        <v/>
      </c>
      <c r="F170" s="89">
        <f>IF($J170="","",+E170/2)</f>
        <v/>
      </c>
      <c r="G170" s="89">
        <f>IF($J170="","",+F170)</f>
        <v/>
      </c>
      <c r="H170" s="89" t="n"/>
      <c r="I170" s="89" t="n"/>
    </row>
    <row r="171" hidden="1" s="103">
      <c r="E171" s="89">
        <f>IF($J171="","",+J171/2)</f>
        <v/>
      </c>
      <c r="F171" s="89">
        <f>IF($J171="","",+E171/2)</f>
        <v/>
      </c>
      <c r="G171" s="89">
        <f>IF($J171="","",+F171)</f>
        <v/>
      </c>
      <c r="H171" s="89" t="n"/>
      <c r="I171" s="89" t="n"/>
    </row>
    <row r="172" hidden="1" s="103">
      <c r="E172" s="89">
        <f>IF($J172="","",+J172/2)</f>
        <v/>
      </c>
      <c r="F172" s="89">
        <f>IF($J172="","",+E172/2)</f>
        <v/>
      </c>
      <c r="G172" s="89">
        <f>IF($J172="","",+F172)</f>
        <v/>
      </c>
      <c r="H172" s="89" t="n"/>
      <c r="I172" s="89" t="n"/>
    </row>
    <row r="173" hidden="1" s="103">
      <c r="E173" s="89">
        <f>IF($J173="","",+J173/2)</f>
        <v/>
      </c>
      <c r="F173" s="89">
        <f>IF($J173="","",+E173/2)</f>
        <v/>
      </c>
      <c r="G173" s="89">
        <f>IF($J173="","",+F173)</f>
        <v/>
      </c>
      <c r="H173" s="89" t="n"/>
      <c r="I173" s="89" t="n"/>
    </row>
    <row r="174" hidden="1" s="103">
      <c r="E174" s="89">
        <f>IF($J174="","",+J174/2)</f>
        <v/>
      </c>
      <c r="F174" s="89">
        <f>IF($J174="","",+E174/2)</f>
        <v/>
      </c>
      <c r="G174" s="89">
        <f>IF($J174="","",+F174)</f>
        <v/>
      </c>
      <c r="H174" s="89" t="n"/>
      <c r="I174" s="89" t="n"/>
    </row>
    <row r="175" hidden="1" s="103">
      <c r="E175" s="89">
        <f>IF($J175="","",+J175/2)</f>
        <v/>
      </c>
      <c r="F175" s="89">
        <f>IF($J175="","",+E175/2)</f>
        <v/>
      </c>
      <c r="G175" s="89">
        <f>IF($J175="","",+F175)</f>
        <v/>
      </c>
      <c r="H175" s="89" t="n"/>
      <c r="I175" s="89" t="n"/>
    </row>
    <row r="176" hidden="1" s="103">
      <c r="E176" s="89">
        <f>IF($J176="","",+J176/2)</f>
        <v/>
      </c>
      <c r="F176" s="89">
        <f>IF($J176="","",+E176/2)</f>
        <v/>
      </c>
      <c r="G176" s="89">
        <f>IF($J176="","",+F176)</f>
        <v/>
      </c>
      <c r="H176" s="89" t="n"/>
      <c r="I176" s="89" t="n"/>
    </row>
    <row r="177" hidden="1" s="103">
      <c r="E177" s="89">
        <f>IF($J177="","",+J177/2)</f>
        <v/>
      </c>
      <c r="F177" s="89">
        <f>IF($J177="","",+E177/2)</f>
        <v/>
      </c>
      <c r="G177" s="89">
        <f>IF($J177="","",+F177)</f>
        <v/>
      </c>
      <c r="H177" s="89" t="n"/>
      <c r="I177" s="89" t="n"/>
    </row>
    <row r="178" hidden="1" s="103">
      <c r="E178" s="89">
        <f>IF($J178="","",+J178/2)</f>
        <v/>
      </c>
      <c r="F178" s="89">
        <f>IF($J178="","",+E178/2)</f>
        <v/>
      </c>
      <c r="G178" s="89">
        <f>IF($J178="","",+F178)</f>
        <v/>
      </c>
      <c r="H178" s="89" t="n"/>
      <c r="I178" s="89" t="n"/>
    </row>
    <row r="179" hidden="1" s="103">
      <c r="E179" s="89">
        <f>IF($J179="","",+J179/2)</f>
        <v/>
      </c>
      <c r="F179" s="89">
        <f>IF($J179="","",+E179/2)</f>
        <v/>
      </c>
      <c r="G179" s="89">
        <f>IF($J179="","",+F179)</f>
        <v/>
      </c>
      <c r="H179" s="89" t="n"/>
      <c r="I179" s="89" t="n"/>
    </row>
    <row r="180" hidden="1" s="103">
      <c r="E180" s="89">
        <f>IF($J180="","",+J180/2)</f>
        <v/>
      </c>
      <c r="F180" s="89">
        <f>IF($J180="","",+E180/2)</f>
        <v/>
      </c>
      <c r="G180" s="89">
        <f>IF($J180="","",+F180)</f>
        <v/>
      </c>
      <c r="H180" s="89" t="n"/>
      <c r="I180" s="89" t="n"/>
    </row>
    <row r="181" hidden="1" s="103">
      <c r="E181" s="89">
        <f>IF($J181="","",+J181/2)</f>
        <v/>
      </c>
      <c r="F181" s="89">
        <f>IF($J181="","",+E181/2)</f>
        <v/>
      </c>
      <c r="G181" s="89">
        <f>IF($J181="","",+F181)</f>
        <v/>
      </c>
      <c r="H181" s="89" t="n"/>
      <c r="I181" s="89" t="n"/>
    </row>
    <row r="182" hidden="1" s="103">
      <c r="E182" s="89">
        <f>IF($J182="","",+J182/2)</f>
        <v/>
      </c>
      <c r="F182" s="89">
        <f>IF($J182="","",+E182/2)</f>
        <v/>
      </c>
      <c r="G182" s="89">
        <f>IF($J182="","",+F182)</f>
        <v/>
      </c>
      <c r="H182" s="89" t="n"/>
      <c r="I182" s="89" t="n"/>
    </row>
    <row r="183" hidden="1" s="103">
      <c r="E183" s="89">
        <f>IF($J183="","",+J183/2)</f>
        <v/>
      </c>
      <c r="F183" s="89">
        <f>IF($J183="","",+E183/2)</f>
        <v/>
      </c>
      <c r="G183" s="89">
        <f>IF($J183="","",+F183)</f>
        <v/>
      </c>
      <c r="H183" s="89" t="n"/>
      <c r="I183" s="89" t="n"/>
    </row>
    <row r="184" hidden="1" s="103">
      <c r="E184" s="89">
        <f>IF($J184="","",+J184/2)</f>
        <v/>
      </c>
      <c r="F184" s="89">
        <f>IF($J184="","",+E184/2)</f>
        <v/>
      </c>
      <c r="G184" s="89">
        <f>IF($J184="","",+F184)</f>
        <v/>
      </c>
      <c r="H184" s="89" t="n"/>
      <c r="I184" s="89" t="n"/>
    </row>
    <row r="185" hidden="1" s="103">
      <c r="E185" s="89">
        <f>IF($J185="","",+J185/2)</f>
        <v/>
      </c>
      <c r="F185" s="89">
        <f>IF($J185="","",+E185/2)</f>
        <v/>
      </c>
      <c r="G185" s="89">
        <f>IF($J185="","",+F185)</f>
        <v/>
      </c>
      <c r="H185" s="89" t="n"/>
      <c r="I185" s="89" t="n"/>
    </row>
    <row r="186" hidden="1" s="103">
      <c r="E186" s="89">
        <f>IF($J186="","",+J186/2)</f>
        <v/>
      </c>
      <c r="F186" s="89">
        <f>IF($J186="","",+E186/2)</f>
        <v/>
      </c>
      <c r="G186" s="89">
        <f>IF($J186="","",+F186)</f>
        <v/>
      </c>
      <c r="H186" s="89" t="n"/>
      <c r="I186" s="89" t="n"/>
    </row>
    <row r="187" hidden="1" s="103">
      <c r="E187" s="89">
        <f>IF($J187="","",+J187/2)</f>
        <v/>
      </c>
      <c r="F187" s="89">
        <f>IF($J187="","",+E187/2)</f>
        <v/>
      </c>
      <c r="G187" s="89">
        <f>IF($J187="","",+F187)</f>
        <v/>
      </c>
      <c r="H187" s="89" t="n"/>
      <c r="I187" s="89" t="n"/>
    </row>
    <row r="188" hidden="1" s="103">
      <c r="E188" s="89">
        <f>IF($J188="","",+J188/2)</f>
        <v/>
      </c>
      <c r="F188" s="89">
        <f>IF($J188="","",+E188/2)</f>
        <v/>
      </c>
      <c r="G188" s="89">
        <f>IF($J188="","",+F188)</f>
        <v/>
      </c>
      <c r="H188" s="89" t="n"/>
      <c r="I188" s="89" t="n"/>
    </row>
    <row r="189" hidden="1" s="103">
      <c r="E189" s="89">
        <f>IF($J189="","",+J189/2)</f>
        <v/>
      </c>
      <c r="F189" s="89">
        <f>IF($J189="","",+E189/2)</f>
        <v/>
      </c>
      <c r="G189" s="89">
        <f>IF($J189="","",+F189)</f>
        <v/>
      </c>
      <c r="H189" s="89" t="n"/>
      <c r="I189" s="89" t="n"/>
    </row>
    <row r="190" hidden="1" s="103">
      <c r="E190" s="89">
        <f>IF($J190="","",+J190/2)</f>
        <v/>
      </c>
      <c r="F190" s="89">
        <f>IF($J190="","",+E190/2)</f>
        <v/>
      </c>
      <c r="G190" s="89">
        <f>IF($J190="","",+F190)</f>
        <v/>
      </c>
      <c r="H190" s="89" t="n"/>
      <c r="I190" s="89" t="n"/>
    </row>
    <row r="191" hidden="1" s="103">
      <c r="E191" s="89">
        <f>IF($J191="","",+J191/2)</f>
        <v/>
      </c>
      <c r="F191" s="89">
        <f>IF($J191="","",+E191/2)</f>
        <v/>
      </c>
      <c r="G191" s="89">
        <f>IF($J191="","",+F191)</f>
        <v/>
      </c>
      <c r="H191" s="89" t="n"/>
      <c r="I191" s="89" t="n"/>
    </row>
    <row r="192" hidden="1" s="103">
      <c r="E192" s="89">
        <f>IF($J192="","",+J192/2)</f>
        <v/>
      </c>
      <c r="F192" s="89">
        <f>IF($J192="","",+E192/2)</f>
        <v/>
      </c>
      <c r="G192" s="89">
        <f>IF($J192="","",+F192)</f>
        <v/>
      </c>
      <c r="H192" s="89" t="n"/>
      <c r="I192" s="89" t="n"/>
    </row>
    <row r="193" hidden="1" s="103">
      <c r="E193" s="89">
        <f>IF($J193="","",+J193/2)</f>
        <v/>
      </c>
      <c r="F193" s="89">
        <f>IF($J193="","",+E193/2)</f>
        <v/>
      </c>
      <c r="G193" s="89">
        <f>IF($J193="","",+F193)</f>
        <v/>
      </c>
      <c r="H193" s="89" t="n"/>
      <c r="I193" s="89" t="n"/>
    </row>
    <row r="194" hidden="1" s="103">
      <c r="E194" s="89">
        <f>IF($J194="","",+J194/2)</f>
        <v/>
      </c>
      <c r="F194" s="89">
        <f>IF($J194="","",+E194/2)</f>
        <v/>
      </c>
      <c r="G194" s="89">
        <f>IF($J194="","",+F194)</f>
        <v/>
      </c>
      <c r="H194" s="89" t="n"/>
      <c r="I194" s="89" t="n"/>
    </row>
    <row r="195" hidden="1" s="103">
      <c r="E195" s="89">
        <f>IF($J195="","",+J195/2)</f>
        <v/>
      </c>
      <c r="F195" s="89">
        <f>IF($J195="","",+E195/2)</f>
        <v/>
      </c>
      <c r="G195" s="89">
        <f>IF($J195="","",+F195)</f>
        <v/>
      </c>
      <c r="H195" s="89" t="n"/>
      <c r="I195" s="89" t="n"/>
    </row>
    <row r="196" hidden="1" s="103">
      <c r="E196" s="89">
        <f>IF($J196="","",+J196/2)</f>
        <v/>
      </c>
      <c r="F196" s="89">
        <f>IF($J196="","",+E196/2)</f>
        <v/>
      </c>
      <c r="G196" s="89">
        <f>IF($J196="","",+F196)</f>
        <v/>
      </c>
      <c r="H196" s="89" t="n"/>
      <c r="I196" s="89" t="n"/>
    </row>
    <row r="197" hidden="1" s="103">
      <c r="E197" s="89">
        <f>IF($J197="","",+J197/2)</f>
        <v/>
      </c>
      <c r="F197" s="89">
        <f>IF($J197="","",+E197/2)</f>
        <v/>
      </c>
      <c r="G197" s="89">
        <f>IF($J197="","",+F197)</f>
        <v/>
      </c>
      <c r="H197" s="89" t="n"/>
      <c r="I197" s="89" t="n"/>
    </row>
    <row r="198" hidden="1" s="103">
      <c r="E198" s="89">
        <f>IF($J198="","",+J198/2)</f>
        <v/>
      </c>
      <c r="F198" s="89">
        <f>IF($J198="","",+E198/2)</f>
        <v/>
      </c>
      <c r="G198" s="89">
        <f>IF($J198="","",+F198)</f>
        <v/>
      </c>
      <c r="H198" s="89" t="n"/>
      <c r="I198" s="89" t="n"/>
    </row>
    <row r="199" hidden="1" s="103">
      <c r="E199" s="89">
        <f>IF($J199="","",+J199/2)</f>
        <v/>
      </c>
      <c r="F199" s="89">
        <f>IF($J199="","",+E199/2)</f>
        <v/>
      </c>
      <c r="G199" s="89">
        <f>IF($J199="","",+F199)</f>
        <v/>
      </c>
      <c r="H199" s="89" t="n"/>
      <c r="I199" s="89" t="n"/>
    </row>
    <row r="200" hidden="1" s="103">
      <c r="E200" s="89">
        <f>IF($J200="","",+J200/2)</f>
        <v/>
      </c>
      <c r="F200" s="89">
        <f>IF($J200="","",+E200/2)</f>
        <v/>
      </c>
      <c r="G200" s="89">
        <f>IF($J200="","",+F200)</f>
        <v/>
      </c>
      <c r="H200" s="89" t="n"/>
      <c r="I200" s="89" t="n"/>
    </row>
    <row r="201" hidden="1" s="103">
      <c r="E201" s="89">
        <f>IF($J201="","",+J201/2)</f>
        <v/>
      </c>
      <c r="F201" s="89">
        <f>IF($J201="","",+E201/2)</f>
        <v/>
      </c>
      <c r="G201" s="89">
        <f>IF($J201="","",+F201)</f>
        <v/>
      </c>
      <c r="H201" s="89" t="n"/>
      <c r="I201" s="89" t="n"/>
    </row>
    <row r="202" hidden="1" s="103">
      <c r="E202" s="89">
        <f>IF($J202="","",+J202/2)</f>
        <v/>
      </c>
      <c r="F202" s="89">
        <f>IF($J202="","",+E202/2)</f>
        <v/>
      </c>
      <c r="G202" s="89">
        <f>IF($J202="","",+F202)</f>
        <v/>
      </c>
      <c r="H202" s="89" t="n"/>
      <c r="I202" s="89" t="n"/>
    </row>
    <row r="203" hidden="1" s="103">
      <c r="E203" s="89">
        <f>IF($J203="","",+J203/2)</f>
        <v/>
      </c>
      <c r="F203" s="89">
        <f>IF($J203="","",+E203/2)</f>
        <v/>
      </c>
      <c r="G203" s="89">
        <f>IF($J203="","",+F203)</f>
        <v/>
      </c>
      <c r="H203" s="89" t="n"/>
      <c r="I203" s="89" t="n"/>
    </row>
    <row r="204" hidden="1" s="103">
      <c r="E204" s="89">
        <f>IF($J204="","",+J204/2)</f>
        <v/>
      </c>
      <c r="F204" s="89">
        <f>IF($J204="","",+E204/2)</f>
        <v/>
      </c>
      <c r="G204" s="89">
        <f>IF($J204="","",+F204)</f>
        <v/>
      </c>
      <c r="H204" s="89" t="n"/>
      <c r="I204" s="89" t="n"/>
    </row>
    <row r="205" hidden="1" s="103">
      <c r="E205" s="89">
        <f>IF($J205="","",+J205/2)</f>
        <v/>
      </c>
      <c r="F205" s="89">
        <f>IF($J205="","",+E205/2)</f>
        <v/>
      </c>
      <c r="G205" s="89">
        <f>IF($J205="","",+F205)</f>
        <v/>
      </c>
      <c r="H205" s="89" t="n"/>
      <c r="I205" s="89" t="n"/>
    </row>
    <row r="206" hidden="1" s="103">
      <c r="E206" s="89">
        <f>IF($J206="","",+J206/2)</f>
        <v/>
      </c>
      <c r="F206" s="89">
        <f>IF($J206="","",+E206/2)</f>
        <v/>
      </c>
      <c r="G206" s="89">
        <f>IF($J206="","",+F206)</f>
        <v/>
      </c>
      <c r="H206" s="89" t="n"/>
      <c r="I206" s="89" t="n"/>
    </row>
    <row r="207" hidden="1" s="103">
      <c r="E207" s="89">
        <f>IF($J207="","",+J207/2)</f>
        <v/>
      </c>
      <c r="F207" s="89">
        <f>IF($J207="","",+E207/2)</f>
        <v/>
      </c>
      <c r="G207" s="89">
        <f>IF($J207="","",+F207)</f>
        <v/>
      </c>
      <c r="H207" s="89" t="n"/>
      <c r="I207" s="89" t="n"/>
    </row>
    <row r="208" hidden="1" s="103">
      <c r="E208" s="89">
        <f>IF($J208="","",+J208/2)</f>
        <v/>
      </c>
      <c r="F208" s="89">
        <f>IF($J208="","",+E208/2)</f>
        <v/>
      </c>
      <c r="G208" s="89">
        <f>IF($J208="","",+F208)</f>
        <v/>
      </c>
      <c r="H208" s="89" t="n"/>
      <c r="I208" s="89" t="n"/>
    </row>
    <row r="209" hidden="1" s="103">
      <c r="E209" s="89">
        <f>IF($J209="","",+J209/2)</f>
        <v/>
      </c>
      <c r="F209" s="89">
        <f>IF($J209="","",+E209/2)</f>
        <v/>
      </c>
      <c r="G209" s="89">
        <f>IF($J209="","",+F209)</f>
        <v/>
      </c>
      <c r="H209" s="89" t="n"/>
      <c r="I209" s="89" t="n"/>
    </row>
    <row r="210" hidden="1" s="103">
      <c r="E210" s="89">
        <f>IF($J210="","",+J210/2)</f>
        <v/>
      </c>
      <c r="F210" s="89">
        <f>IF($J210="","",+E210/2)</f>
        <v/>
      </c>
      <c r="G210" s="89">
        <f>IF($J210="","",+F210)</f>
        <v/>
      </c>
      <c r="H210" s="89" t="n"/>
      <c r="I210" s="89" t="n"/>
    </row>
    <row r="211" hidden="1" s="103">
      <c r="E211" s="89">
        <f>IF($J211="","",+J211/2)</f>
        <v/>
      </c>
      <c r="F211" s="89">
        <f>IF($J211="","",+E211/2)</f>
        <v/>
      </c>
      <c r="G211" s="89">
        <f>IF($J211="","",+F211)</f>
        <v/>
      </c>
      <c r="H211" s="89" t="n"/>
      <c r="I211" s="89" t="n"/>
    </row>
    <row r="212" hidden="1" s="103">
      <c r="E212" s="89">
        <f>IF($J212="","",+J212/2)</f>
        <v/>
      </c>
      <c r="F212" s="89">
        <f>IF($J212="","",+E212/2)</f>
        <v/>
      </c>
      <c r="G212" s="89">
        <f>IF($J212="","",+F212)</f>
        <v/>
      </c>
      <c r="H212" s="89" t="n"/>
      <c r="I212" s="89" t="n"/>
    </row>
    <row r="213" hidden="1" s="103">
      <c r="E213" s="89">
        <f>IF($J213="","",+J213/2)</f>
        <v/>
      </c>
      <c r="F213" s="89">
        <f>IF($J213="","",+E213/2)</f>
        <v/>
      </c>
      <c r="G213" s="89">
        <f>IF($J213="","",+F213)</f>
        <v/>
      </c>
      <c r="H213" s="89" t="n"/>
      <c r="I213" s="89" t="n"/>
    </row>
    <row r="214" hidden="1" s="103">
      <c r="E214" s="89">
        <f>IF($J214="","",+J214/2)</f>
        <v/>
      </c>
      <c r="F214" s="89">
        <f>IF($J214="","",+E214/2)</f>
        <v/>
      </c>
      <c r="G214" s="89">
        <f>IF($J214="","",+F214)</f>
        <v/>
      </c>
      <c r="H214" s="89" t="n"/>
      <c r="I214" s="89" t="n"/>
    </row>
    <row r="215" hidden="1" s="103">
      <c r="E215" s="89">
        <f>IF($J215="","",+J215/2)</f>
        <v/>
      </c>
      <c r="F215" s="89">
        <f>IF($J215="","",+E215/2)</f>
        <v/>
      </c>
      <c r="G215" s="89">
        <f>IF($J215="","",+F215)</f>
        <v/>
      </c>
      <c r="H215" s="89" t="n"/>
      <c r="I215" s="89" t="n"/>
    </row>
    <row r="216" hidden="1" s="103">
      <c r="E216" s="89">
        <f>IF($J216="","",+J216/2)</f>
        <v/>
      </c>
      <c r="F216" s="89">
        <f>IF($J216="","",+E216/2)</f>
        <v/>
      </c>
      <c r="G216" s="89">
        <f>IF($J216="","",+F216)</f>
        <v/>
      </c>
      <c r="H216" s="89" t="n"/>
      <c r="I216" s="89" t="n"/>
    </row>
    <row r="217" hidden="1" s="103">
      <c r="E217" s="89">
        <f>IF($J217="","",+J217/2)</f>
        <v/>
      </c>
      <c r="F217" s="89">
        <f>IF($J217="","",+E217/2)</f>
        <v/>
      </c>
      <c r="G217" s="89">
        <f>IF($J217="","",+F217)</f>
        <v/>
      </c>
      <c r="H217" s="89" t="n"/>
      <c r="I217" s="89" t="n"/>
    </row>
    <row r="218" hidden="1" s="103">
      <c r="E218" s="89">
        <f>IF($J218="","",+J218/2)</f>
        <v/>
      </c>
      <c r="F218" s="89">
        <f>IF($J218="","",+E218/2)</f>
        <v/>
      </c>
      <c r="G218" s="89">
        <f>IF($J218="","",+F218)</f>
        <v/>
      </c>
      <c r="H218" s="89" t="n"/>
      <c r="I218" s="89" t="n"/>
    </row>
    <row r="219" hidden="1" s="103">
      <c r="E219" s="89">
        <f>IF($J219="","",+J219/2)</f>
        <v/>
      </c>
      <c r="F219" s="89">
        <f>IF($J219="","",+E219/2)</f>
        <v/>
      </c>
      <c r="G219" s="89">
        <f>IF($J219="","",+F219)</f>
        <v/>
      </c>
      <c r="H219" s="89" t="n"/>
      <c r="I219" s="89" t="n"/>
    </row>
    <row r="220" hidden="1" s="103">
      <c r="E220" s="89">
        <f>IF($J220="","",+J220/2)</f>
        <v/>
      </c>
      <c r="F220" s="89">
        <f>IF($J220="","",+E220/2)</f>
        <v/>
      </c>
      <c r="G220" s="89">
        <f>IF($J220="","",+F220)</f>
        <v/>
      </c>
      <c r="H220" s="89" t="n"/>
      <c r="I220" s="89" t="n"/>
    </row>
    <row r="221" hidden="1" s="103">
      <c r="E221" s="89">
        <f>IF($J221="","",+J221/2)</f>
        <v/>
      </c>
      <c r="F221" s="89">
        <f>IF($J221="","",+E221/2)</f>
        <v/>
      </c>
      <c r="G221" s="89">
        <f>IF($J221="","",+F221)</f>
        <v/>
      </c>
      <c r="H221" s="89" t="n"/>
      <c r="I221" s="89" t="n"/>
    </row>
    <row r="222" hidden="1" s="103">
      <c r="E222" s="89">
        <f>IF($J222="","",+J222/2)</f>
        <v/>
      </c>
      <c r="F222" s="89">
        <f>IF($J222="","",+E222/2)</f>
        <v/>
      </c>
      <c r="G222" s="89">
        <f>IF($J222="","",+F222)</f>
        <v/>
      </c>
      <c r="H222" s="89" t="n"/>
      <c r="I222" s="89" t="n"/>
    </row>
    <row r="223" hidden="1" s="103">
      <c r="E223" s="89">
        <f>IF($J223="","",+J223/2)</f>
        <v/>
      </c>
      <c r="F223" s="89">
        <f>IF($J223="","",+E223/2)</f>
        <v/>
      </c>
      <c r="G223" s="89">
        <f>IF($J223="","",+F223)</f>
        <v/>
      </c>
      <c r="H223" s="89" t="n"/>
      <c r="I223" s="89" t="n"/>
    </row>
    <row r="224" hidden="1" s="103">
      <c r="E224" s="89">
        <f>IF($J224="","",+J224/2)</f>
        <v/>
      </c>
      <c r="F224" s="89">
        <f>IF($J224="","",+E224/2)</f>
        <v/>
      </c>
      <c r="G224" s="89">
        <f>IF($J224="","",+F224)</f>
        <v/>
      </c>
      <c r="H224" s="89" t="n"/>
      <c r="I224" s="89" t="n"/>
    </row>
    <row r="225" hidden="1" s="103">
      <c r="E225" s="89">
        <f>IF($J225="","",+J225/2)</f>
        <v/>
      </c>
      <c r="F225" s="89">
        <f>IF($J225="","",+E225/2)</f>
        <v/>
      </c>
      <c r="G225" s="89">
        <f>IF($J225="","",+F225)</f>
        <v/>
      </c>
      <c r="H225" s="89" t="n"/>
      <c r="I225" s="89" t="n"/>
    </row>
    <row r="226" hidden="1" s="103">
      <c r="E226" s="89">
        <f>IF($J226="","",+J226/2)</f>
        <v/>
      </c>
      <c r="F226" s="89">
        <f>IF($J226="","",+E226/2)</f>
        <v/>
      </c>
      <c r="G226" s="89">
        <f>IF($J226="","",+F226)</f>
        <v/>
      </c>
      <c r="H226" s="89" t="n"/>
      <c r="I226" s="89" t="n"/>
    </row>
    <row r="227" hidden="1" s="103">
      <c r="E227" s="89">
        <f>IF($J227="","",+J227/2)</f>
        <v/>
      </c>
      <c r="F227" s="89">
        <f>IF($J227="","",+E227/2)</f>
        <v/>
      </c>
      <c r="G227" s="89">
        <f>IF($J227="","",+F227)</f>
        <v/>
      </c>
      <c r="H227" s="89" t="n"/>
      <c r="I227" s="89" t="n"/>
    </row>
    <row r="228" hidden="1" s="103">
      <c r="E228" s="89">
        <f>IF($J228="","",+J228/2)</f>
        <v/>
      </c>
      <c r="F228" s="89">
        <f>IF($J228="","",+E228/2)</f>
        <v/>
      </c>
      <c r="G228" s="89">
        <f>IF($J228="","",+F228)</f>
        <v/>
      </c>
      <c r="H228" s="89" t="n"/>
      <c r="I228" s="89" t="n"/>
    </row>
    <row r="229" hidden="1" s="103">
      <c r="E229" s="89">
        <f>IF($J229="","",+J229/2)</f>
        <v/>
      </c>
      <c r="F229" s="89">
        <f>IF($J229="","",+E229/2)</f>
        <v/>
      </c>
      <c r="G229" s="89">
        <f>IF($J229="","",+F229)</f>
        <v/>
      </c>
      <c r="H229" s="89" t="n"/>
      <c r="I229" s="89" t="n"/>
    </row>
    <row r="230" hidden="1" s="103">
      <c r="E230" s="89">
        <f>IF($J230="","",+J230/2)</f>
        <v/>
      </c>
      <c r="F230" s="89">
        <f>IF($J230="","",+E230/2)</f>
        <v/>
      </c>
      <c r="G230" s="89">
        <f>IF($J230="","",+F230)</f>
        <v/>
      </c>
      <c r="H230" s="89" t="n"/>
      <c r="I230" s="89" t="n"/>
    </row>
    <row r="231" hidden="1" s="103">
      <c r="E231" s="89">
        <f>IF($J231="","",+J231/2)</f>
        <v/>
      </c>
      <c r="F231" s="89">
        <f>IF($J231="","",+E231/2)</f>
        <v/>
      </c>
      <c r="G231" s="89">
        <f>IF($J231="","",+F231)</f>
        <v/>
      </c>
      <c r="H231" s="89" t="n"/>
      <c r="I231" s="89" t="n"/>
    </row>
    <row r="232" hidden="1" s="103">
      <c r="E232" s="89">
        <f>IF($J232="","",+J232/2)</f>
        <v/>
      </c>
      <c r="F232" s="89">
        <f>IF($J232="","",+E232/2)</f>
        <v/>
      </c>
      <c r="G232" s="89">
        <f>IF($J232="","",+F232)</f>
        <v/>
      </c>
      <c r="H232" s="89" t="n"/>
      <c r="I232" s="89" t="n"/>
    </row>
    <row r="233" hidden="1" s="103">
      <c r="E233" s="89">
        <f>IF($J233="","",+J233/2)</f>
        <v/>
      </c>
      <c r="F233" s="89">
        <f>IF($J233="","",+E233/2)</f>
        <v/>
      </c>
      <c r="G233" s="89">
        <f>IF($J233="","",+F233)</f>
        <v/>
      </c>
      <c r="H233" s="89" t="n"/>
      <c r="I233" s="89" t="n"/>
    </row>
    <row r="234" hidden="1" s="103">
      <c r="E234" s="89">
        <f>IF($J234="","",+J234/2)</f>
        <v/>
      </c>
      <c r="F234" s="89">
        <f>IF($J234="","",+E234/2)</f>
        <v/>
      </c>
      <c r="G234" s="89">
        <f>IF($J234="","",+F234)</f>
        <v/>
      </c>
      <c r="H234" s="89" t="n"/>
      <c r="I234" s="89" t="n"/>
    </row>
    <row r="235" hidden="1" s="103">
      <c r="E235" s="89">
        <f>IF($J235="","",+J235/2)</f>
        <v/>
      </c>
      <c r="F235" s="89">
        <f>IF($J235="","",+E235/2)</f>
        <v/>
      </c>
      <c r="G235" s="89">
        <f>IF($J235="","",+F235)</f>
        <v/>
      </c>
      <c r="H235" s="89" t="n"/>
      <c r="I235" s="89" t="n"/>
    </row>
    <row r="236" hidden="1" s="103">
      <c r="E236" s="89">
        <f>IF($J236="","",+J236/2)</f>
        <v/>
      </c>
      <c r="F236" s="89">
        <f>IF($J236="","",+E236/2)</f>
        <v/>
      </c>
      <c r="G236" s="89">
        <f>IF($J236="","",+F236)</f>
        <v/>
      </c>
      <c r="H236" s="89" t="n"/>
      <c r="I236" s="89" t="n"/>
    </row>
    <row r="237" hidden="1" s="103">
      <c r="E237" s="89">
        <f>IF($J237="","",+J237/2)</f>
        <v/>
      </c>
      <c r="F237" s="89">
        <f>IF($J237="","",+E237/2)</f>
        <v/>
      </c>
      <c r="G237" s="89">
        <f>IF($J237="","",+F237)</f>
        <v/>
      </c>
      <c r="H237" s="89" t="n"/>
      <c r="I237" s="89" t="n"/>
    </row>
    <row r="238" hidden="1" s="103">
      <c r="E238" s="89">
        <f>IF($J238="","",+J238/2)</f>
        <v/>
      </c>
      <c r="F238" s="89">
        <f>IF($J238="","",+E238/2)</f>
        <v/>
      </c>
      <c r="G238" s="89">
        <f>IF($J238="","",+F238)</f>
        <v/>
      </c>
      <c r="H238" s="89" t="n"/>
      <c r="I238" s="89" t="n"/>
    </row>
    <row r="239" hidden="1" s="103">
      <c r="E239" s="89">
        <f>IF($J239="","",+J239/2)</f>
        <v/>
      </c>
      <c r="F239" s="89">
        <f>IF($J239="","",+E239/2)</f>
        <v/>
      </c>
      <c r="G239" s="89">
        <f>IF($J239="","",+F239)</f>
        <v/>
      </c>
      <c r="H239" s="89" t="n"/>
      <c r="I239" s="89" t="n"/>
    </row>
    <row r="240" hidden="1" s="103">
      <c r="E240" s="89">
        <f>IF($J240="","",+J240/2)</f>
        <v/>
      </c>
      <c r="F240" s="89">
        <f>IF($J240="","",+E240/2)</f>
        <v/>
      </c>
      <c r="G240" s="89">
        <f>IF($J240="","",+F240)</f>
        <v/>
      </c>
      <c r="H240" s="89" t="n"/>
      <c r="I240" s="89" t="n"/>
    </row>
    <row r="241" hidden="1" s="103">
      <c r="E241" s="89">
        <f>IF($J241="","",+J241/2)</f>
        <v/>
      </c>
      <c r="F241" s="89">
        <f>IF($J241="","",+E241/2)</f>
        <v/>
      </c>
      <c r="G241" s="89">
        <f>IF($J241="","",+F241)</f>
        <v/>
      </c>
      <c r="H241" s="89" t="n"/>
      <c r="I241" s="89" t="n"/>
    </row>
    <row r="242" hidden="1" s="103">
      <c r="E242" s="89">
        <f>IF($J242="","",+J242/2)</f>
        <v/>
      </c>
      <c r="F242" s="89">
        <f>IF($J242="","",+E242/2)</f>
        <v/>
      </c>
      <c r="G242" s="89">
        <f>IF($J242="","",+F242)</f>
        <v/>
      </c>
      <c r="H242" s="89" t="n"/>
      <c r="I242" s="89" t="n"/>
    </row>
    <row r="243" hidden="1" s="103">
      <c r="E243" s="89">
        <f>IF($J243="","",+J243/2)</f>
        <v/>
      </c>
      <c r="F243" s="89">
        <f>IF($J243="","",+E243/2)</f>
        <v/>
      </c>
      <c r="G243" s="89">
        <f>IF($J243="","",+F243)</f>
        <v/>
      </c>
      <c r="H243" s="89" t="n"/>
      <c r="I243" s="89" t="n"/>
    </row>
    <row r="244" hidden="1" s="103">
      <c r="E244" s="89">
        <f>IF($J244="","",+J244/2)</f>
        <v/>
      </c>
      <c r="F244" s="89">
        <f>IF($J244="","",+E244/2)</f>
        <v/>
      </c>
      <c r="G244" s="89">
        <f>IF($J244="","",+F244)</f>
        <v/>
      </c>
      <c r="H244" s="89" t="n"/>
      <c r="I244" s="89" t="n"/>
    </row>
    <row r="245" hidden="1" s="103">
      <c r="E245" s="89">
        <f>IF($J245="","",+J245/2)</f>
        <v/>
      </c>
      <c r="F245" s="89">
        <f>IF($J245="","",+E245/2)</f>
        <v/>
      </c>
      <c r="G245" s="89">
        <f>IF($J245="","",+F245)</f>
        <v/>
      </c>
      <c r="H245" s="89" t="n"/>
      <c r="I245" s="89" t="n"/>
    </row>
    <row r="246" hidden="1" s="103">
      <c r="E246" s="89">
        <f>IF($J246="","",+J246/2)</f>
        <v/>
      </c>
      <c r="F246" s="89">
        <f>IF($J246="","",+E246/2)</f>
        <v/>
      </c>
      <c r="G246" s="89">
        <f>IF($J246="","",+F246)</f>
        <v/>
      </c>
      <c r="H246" s="89" t="n"/>
      <c r="I246" s="89" t="n"/>
    </row>
    <row r="247" hidden="1" s="103">
      <c r="E247" s="89">
        <f>IF($J247="","",+J247/2)</f>
        <v/>
      </c>
      <c r="F247" s="89">
        <f>IF($J247="","",+E247/2)</f>
        <v/>
      </c>
      <c r="G247" s="89">
        <f>IF($J247="","",+F247)</f>
        <v/>
      </c>
      <c r="H247" s="89" t="n"/>
      <c r="I247" s="89" t="n"/>
    </row>
    <row r="248" hidden="1" s="103">
      <c r="E248" s="89">
        <f>IF($J248="","",+J248/2)</f>
        <v/>
      </c>
      <c r="F248" s="89">
        <f>IF($J248="","",+E248/2)</f>
        <v/>
      </c>
      <c r="G248" s="89">
        <f>IF($J248="","",+F248)</f>
        <v/>
      </c>
      <c r="H248" s="89" t="n"/>
      <c r="I248" s="89" t="n"/>
    </row>
    <row r="249" hidden="1" s="103">
      <c r="E249" s="89">
        <f>IF($J249="","",+J249/2)</f>
        <v/>
      </c>
      <c r="F249" s="89">
        <f>IF($J249="","",+E249/2)</f>
        <v/>
      </c>
      <c r="G249" s="89">
        <f>IF($J249="","",+F249)</f>
        <v/>
      </c>
      <c r="H249" s="89" t="n"/>
      <c r="I249" s="89" t="n"/>
    </row>
    <row r="250" hidden="1" s="103">
      <c r="E250" s="89">
        <f>IF($J250="","",+J250/2)</f>
        <v/>
      </c>
      <c r="F250" s="89">
        <f>IF($J250="","",+E250/2)</f>
        <v/>
      </c>
      <c r="G250" s="89">
        <f>IF($J250="","",+F250)</f>
        <v/>
      </c>
      <c r="H250" s="89" t="n"/>
      <c r="I250" s="89" t="n"/>
    </row>
    <row r="251" hidden="1" s="103">
      <c r="E251" s="89">
        <f>IF($J251="","",+J251/2)</f>
        <v/>
      </c>
      <c r="F251" s="89">
        <f>IF($J251="","",+E251/2)</f>
        <v/>
      </c>
      <c r="G251" s="89">
        <f>IF($J251="","",+F251)</f>
        <v/>
      </c>
      <c r="H251" s="89" t="n"/>
      <c r="I251" s="89" t="n"/>
    </row>
    <row r="252" hidden="1" s="103">
      <c r="E252" s="89">
        <f>IF($J252="","",+J252/2)</f>
        <v/>
      </c>
      <c r="F252" s="89">
        <f>IF($J252="","",+E252/2)</f>
        <v/>
      </c>
      <c r="G252" s="89">
        <f>IF($J252="","",+F252)</f>
        <v/>
      </c>
      <c r="H252" s="89" t="n"/>
      <c r="I252" s="89" t="n"/>
    </row>
    <row r="253" hidden="1" s="103">
      <c r="E253" s="89">
        <f>IF($J253="","",+J253/2)</f>
        <v/>
      </c>
      <c r="F253" s="89">
        <f>IF($J253="","",+E253/2)</f>
        <v/>
      </c>
      <c r="G253" s="89">
        <f>IF($J253="","",+F253)</f>
        <v/>
      </c>
      <c r="H253" s="89" t="n"/>
      <c r="I253" s="89" t="n"/>
    </row>
    <row r="254" hidden="1" s="103">
      <c r="E254" s="89">
        <f>IF($J254="","",+J254/2)</f>
        <v/>
      </c>
      <c r="F254" s="89">
        <f>IF($J254="","",+E254/2)</f>
        <v/>
      </c>
      <c r="G254" s="89">
        <f>IF($J254="","",+F254)</f>
        <v/>
      </c>
      <c r="H254" s="89" t="n"/>
      <c r="I254" s="89" t="n"/>
    </row>
    <row r="255" hidden="1" s="103">
      <c r="E255" s="89">
        <f>IF($J255="","",+J255/2)</f>
        <v/>
      </c>
      <c r="F255" s="89">
        <f>IF($J255="","",+E255/2)</f>
        <v/>
      </c>
      <c r="G255" s="89">
        <f>IF($J255="","",+F255)</f>
        <v/>
      </c>
      <c r="H255" s="89" t="n"/>
      <c r="I255" s="89" t="n"/>
    </row>
    <row r="256" hidden="1" s="103">
      <c r="E256" s="89">
        <f>IF($J256="","",+J256/2)</f>
        <v/>
      </c>
      <c r="F256" s="89">
        <f>IF($J256="","",+E256/2)</f>
        <v/>
      </c>
      <c r="G256" s="89">
        <f>IF($J256="","",+F256)</f>
        <v/>
      </c>
      <c r="H256" s="89" t="n"/>
      <c r="I256" s="89" t="n"/>
    </row>
    <row r="257" hidden="1" s="103">
      <c r="E257" s="89">
        <f>IF($J257="","",+J257/2)</f>
        <v/>
      </c>
      <c r="F257" s="89">
        <f>IF($J257="","",+E257/2)</f>
        <v/>
      </c>
      <c r="G257" s="89">
        <f>IF($J257="","",+F257)</f>
        <v/>
      </c>
      <c r="H257" s="89" t="n"/>
      <c r="I257" s="89" t="n"/>
    </row>
    <row r="258" hidden="1" s="103">
      <c r="E258" s="89">
        <f>IF($J258="","",+J258/2)</f>
        <v/>
      </c>
      <c r="F258" s="89">
        <f>IF($J258="","",+E258/2)</f>
        <v/>
      </c>
      <c r="G258" s="89">
        <f>IF($J258="","",+F258)</f>
        <v/>
      </c>
      <c r="H258" s="89" t="n"/>
      <c r="I258" s="89" t="n"/>
    </row>
    <row r="259" hidden="1" s="103">
      <c r="E259" s="89">
        <f>IF($J259="","",+J259/2)</f>
        <v/>
      </c>
      <c r="F259" s="89">
        <f>IF($J259="","",+E259/2)</f>
        <v/>
      </c>
      <c r="G259" s="89">
        <f>IF($J259="","",+F259)</f>
        <v/>
      </c>
      <c r="H259" s="89" t="n"/>
      <c r="I259" s="89" t="n"/>
    </row>
    <row r="260" hidden="1" s="103">
      <c r="E260" s="89">
        <f>IF($J260="","",+J260/2)</f>
        <v/>
      </c>
      <c r="F260" s="89">
        <f>IF($J260="","",+E260/2)</f>
        <v/>
      </c>
      <c r="G260" s="89">
        <f>IF($J260="","",+F260)</f>
        <v/>
      </c>
      <c r="H260" s="89" t="n"/>
      <c r="I260" s="89" t="n"/>
    </row>
    <row r="261" hidden="1" s="103">
      <c r="E261" s="89">
        <f>IF($J261="","",+J261/2)</f>
        <v/>
      </c>
      <c r="F261" s="89">
        <f>IF($J261="","",+E261/2)</f>
        <v/>
      </c>
      <c r="G261" s="89">
        <f>IF($J261="","",+F261)</f>
        <v/>
      </c>
      <c r="H261" s="89" t="n"/>
      <c r="I261" s="89" t="n"/>
    </row>
    <row r="262" hidden="1" s="103">
      <c r="E262" s="89">
        <f>IF($J262="","",+J262/2)</f>
        <v/>
      </c>
      <c r="F262" s="89">
        <f>IF($J262="","",+E262/2)</f>
        <v/>
      </c>
      <c r="G262" s="89">
        <f>IF($J262="","",+F262)</f>
        <v/>
      </c>
      <c r="H262" s="89" t="n"/>
      <c r="I262" s="89" t="n"/>
    </row>
    <row r="263" hidden="1" s="103">
      <c r="E263" s="89">
        <f>IF($J263="","",+J263/2)</f>
        <v/>
      </c>
      <c r="F263" s="89">
        <f>IF($J263="","",+E263/2)</f>
        <v/>
      </c>
      <c r="G263" s="89">
        <f>IF($J263="","",+F263)</f>
        <v/>
      </c>
      <c r="H263" s="89" t="n"/>
      <c r="I263" s="89" t="n"/>
    </row>
    <row r="264" hidden="1" s="103">
      <c r="E264" s="89">
        <f>IF($J264="","",+J264/2)</f>
        <v/>
      </c>
      <c r="F264" s="89">
        <f>IF($J264="","",+E264/2)</f>
        <v/>
      </c>
      <c r="G264" s="89">
        <f>IF($J264="","",+F264)</f>
        <v/>
      </c>
      <c r="H264" s="89" t="n"/>
      <c r="I264" s="89" t="n"/>
    </row>
    <row r="265" hidden="1" s="103">
      <c r="E265" s="89">
        <f>IF($J265="","",+J265/2)</f>
        <v/>
      </c>
      <c r="F265" s="89">
        <f>IF($J265="","",+E265/2)</f>
        <v/>
      </c>
      <c r="G265" s="89">
        <f>IF($J265="","",+F265)</f>
        <v/>
      </c>
      <c r="H265" s="89" t="n"/>
      <c r="I265" s="89" t="n"/>
    </row>
    <row r="266" hidden="1" s="103">
      <c r="E266" s="89">
        <f>IF($J266="","",+J266/2)</f>
        <v/>
      </c>
      <c r="F266" s="89">
        <f>IF($J266="","",+E266/2)</f>
        <v/>
      </c>
      <c r="G266" s="89">
        <f>IF($J266="","",+F266)</f>
        <v/>
      </c>
      <c r="H266" s="89" t="n"/>
      <c r="I266" s="89" t="n"/>
    </row>
    <row r="267" hidden="1" s="103">
      <c r="E267" s="89">
        <f>IF($J267="","",+J267/2)</f>
        <v/>
      </c>
      <c r="F267" s="89">
        <f>IF($J267="","",+E267/2)</f>
        <v/>
      </c>
      <c r="G267" s="89">
        <f>IF($J267="","",+F267)</f>
        <v/>
      </c>
      <c r="H267" s="89" t="n"/>
      <c r="I267" s="89" t="n"/>
    </row>
    <row r="268" hidden="1" s="103">
      <c r="E268" s="89">
        <f>IF($J268="","",+J268/2)</f>
        <v/>
      </c>
      <c r="F268" s="89">
        <f>IF($J268="","",+E268/2)</f>
        <v/>
      </c>
      <c r="G268" s="89">
        <f>IF($J268="","",+F268)</f>
        <v/>
      </c>
      <c r="H268" s="89" t="n"/>
      <c r="I268" s="89" t="n"/>
    </row>
    <row r="269" hidden="1" s="103">
      <c r="E269" s="89">
        <f>IF($J269="","",+J269/2)</f>
        <v/>
      </c>
      <c r="F269" s="89">
        <f>IF($J269="","",+E269/2)</f>
        <v/>
      </c>
      <c r="G269" s="89">
        <f>IF($J269="","",+F269)</f>
        <v/>
      </c>
      <c r="H269" s="89" t="n"/>
      <c r="I269" s="89" t="n"/>
    </row>
    <row r="270" hidden="1" s="103">
      <c r="E270" s="89">
        <f>IF($J270="","",+J270/2)</f>
        <v/>
      </c>
      <c r="F270" s="89">
        <f>IF($J270="","",+E270/2)</f>
        <v/>
      </c>
      <c r="G270" s="89">
        <f>IF($J270="","",+F270)</f>
        <v/>
      </c>
      <c r="H270" s="89" t="n"/>
      <c r="I270" s="89" t="n"/>
    </row>
    <row r="271" hidden="1" s="103">
      <c r="E271" s="89">
        <f>IF($J271="","",+J271/2)</f>
        <v/>
      </c>
      <c r="F271" s="89">
        <f>IF($J271="","",+E271/2)</f>
        <v/>
      </c>
      <c r="G271" s="89">
        <f>IF($J271="","",+F271)</f>
        <v/>
      </c>
      <c r="H271" s="89" t="n"/>
      <c r="I271" s="89" t="n"/>
    </row>
    <row r="272" hidden="1" s="103">
      <c r="E272" s="89">
        <f>IF($J272="","",+J272/2)</f>
        <v/>
      </c>
      <c r="F272" s="89">
        <f>IF($J272="","",+E272/2)</f>
        <v/>
      </c>
      <c r="G272" s="89">
        <f>IF($J272="","",+F272)</f>
        <v/>
      </c>
      <c r="H272" s="89" t="n"/>
      <c r="I272" s="89" t="n"/>
    </row>
    <row r="273" hidden="1" s="103">
      <c r="E273" s="89">
        <f>IF($J273="","",+J273/2)</f>
        <v/>
      </c>
      <c r="F273" s="89">
        <f>IF($J273="","",+E273/2)</f>
        <v/>
      </c>
      <c r="G273" s="89">
        <f>IF($J273="","",+F273)</f>
        <v/>
      </c>
      <c r="H273" s="89" t="n"/>
      <c r="I273" s="89" t="n"/>
    </row>
    <row r="274" hidden="1" s="103">
      <c r="E274" s="89">
        <f>IF($J274="","",+J274/2)</f>
        <v/>
      </c>
      <c r="F274" s="89">
        <f>IF($J274="","",+E274/2)</f>
        <v/>
      </c>
      <c r="G274" s="89">
        <f>IF($J274="","",+F274)</f>
        <v/>
      </c>
      <c r="H274" s="89" t="n"/>
      <c r="I274" s="89" t="n"/>
    </row>
    <row r="275" hidden="1" s="103">
      <c r="E275" s="89">
        <f>IF($J275="","",+J275/2)</f>
        <v/>
      </c>
      <c r="F275" s="89">
        <f>IF($J275="","",+E275/2)</f>
        <v/>
      </c>
      <c r="G275" s="89">
        <f>IF($J275="","",+F275)</f>
        <v/>
      </c>
      <c r="H275" s="89" t="n"/>
      <c r="I275" s="89" t="n"/>
    </row>
    <row r="276" hidden="1" s="103">
      <c r="E276" s="89">
        <f>IF($J276="","",+J276/2)</f>
        <v/>
      </c>
      <c r="F276" s="89">
        <f>IF($J276="","",+E276/2)</f>
        <v/>
      </c>
      <c r="G276" s="89">
        <f>IF($J276="","",+F276)</f>
        <v/>
      </c>
      <c r="H276" s="89" t="n"/>
      <c r="I276" s="89" t="n"/>
    </row>
    <row r="277" hidden="1" s="103">
      <c r="E277" s="89">
        <f>IF($J277="","",+J277/2)</f>
        <v/>
      </c>
      <c r="F277" s="89">
        <f>IF($J277="","",+E277/2)</f>
        <v/>
      </c>
      <c r="G277" s="89">
        <f>IF($J277="","",+F277)</f>
        <v/>
      </c>
      <c r="H277" s="89" t="n"/>
      <c r="I277" s="89" t="n"/>
    </row>
    <row r="278" hidden="1" s="103">
      <c r="E278" s="89">
        <f>IF($J278="","",+J278/2)</f>
        <v/>
      </c>
      <c r="F278" s="89">
        <f>IF($J278="","",+E278/2)</f>
        <v/>
      </c>
      <c r="G278" s="89">
        <f>IF($J278="","",+F278)</f>
        <v/>
      </c>
      <c r="H278" s="89" t="n"/>
      <c r="I278" s="89" t="n"/>
    </row>
    <row r="279" hidden="1" s="103">
      <c r="E279" s="89">
        <f>IF($J279="","",+J279/2)</f>
        <v/>
      </c>
      <c r="F279" s="89">
        <f>IF($J279="","",+E279/2)</f>
        <v/>
      </c>
      <c r="G279" s="89">
        <f>IF($J279="","",+F279)</f>
        <v/>
      </c>
      <c r="H279" s="89" t="n"/>
      <c r="I279" s="89" t="n"/>
    </row>
    <row r="280" hidden="1" s="103">
      <c r="E280" s="89">
        <f>IF($J280="","",+J280/2)</f>
        <v/>
      </c>
      <c r="F280" s="89">
        <f>IF($J280="","",+E280/2)</f>
        <v/>
      </c>
      <c r="G280" s="89">
        <f>IF($J280="","",+F280)</f>
        <v/>
      </c>
      <c r="H280" s="89" t="n"/>
      <c r="I280" s="89" t="n"/>
    </row>
    <row r="281" hidden="1" s="103">
      <c r="E281" s="89">
        <f>IF($J281="","",+J281/2)</f>
        <v/>
      </c>
      <c r="F281" s="89">
        <f>IF($J281="","",+E281/2)</f>
        <v/>
      </c>
      <c r="G281" s="89">
        <f>IF($J281="","",+F281)</f>
        <v/>
      </c>
      <c r="H281" s="89" t="n"/>
      <c r="I281" s="89" t="n"/>
    </row>
    <row r="282" hidden="1" s="103">
      <c r="E282" s="89">
        <f>IF($J282="","",+J282/2)</f>
        <v/>
      </c>
      <c r="F282" s="89">
        <f>IF($J282="","",+E282/2)</f>
        <v/>
      </c>
      <c r="G282" s="89">
        <f>IF($J282="","",+F282)</f>
        <v/>
      </c>
      <c r="H282" s="89" t="n"/>
      <c r="I282" s="89" t="n"/>
    </row>
    <row r="283" hidden="1" s="103">
      <c r="E283" s="89">
        <f>IF($J283="","",+J283/2)</f>
        <v/>
      </c>
      <c r="F283" s="89">
        <f>IF($J283="","",+E283/2)</f>
        <v/>
      </c>
      <c r="G283" s="89">
        <f>IF($J283="","",+F283)</f>
        <v/>
      </c>
      <c r="H283" s="89" t="n"/>
      <c r="I283" s="89" t="n"/>
    </row>
    <row r="284" hidden="1" s="103">
      <c r="E284" s="89">
        <f>IF($J284="","",+J284/2)</f>
        <v/>
      </c>
      <c r="F284" s="89">
        <f>IF($J284="","",+E284/2)</f>
        <v/>
      </c>
      <c r="G284" s="89">
        <f>IF($J284="","",+F284)</f>
        <v/>
      </c>
      <c r="H284" s="89" t="n"/>
      <c r="I284" s="89" t="n"/>
    </row>
    <row r="285" hidden="1" s="103">
      <c r="E285" s="89">
        <f>IF($J285="","",+J285/2)</f>
        <v/>
      </c>
      <c r="F285" s="89">
        <f>IF($J285="","",+E285/2)</f>
        <v/>
      </c>
      <c r="G285" s="89">
        <f>IF($J285="","",+F285)</f>
        <v/>
      </c>
      <c r="H285" s="89" t="n"/>
      <c r="I285" s="89" t="n"/>
    </row>
    <row r="286" hidden="1" s="103">
      <c r="E286" s="89">
        <f>IF($J286="","",+J286/2)</f>
        <v/>
      </c>
      <c r="F286" s="89">
        <f>IF($J286="","",+E286/2)</f>
        <v/>
      </c>
      <c r="G286" s="89">
        <f>IF($J286="","",+F286)</f>
        <v/>
      </c>
      <c r="H286" s="89" t="n"/>
      <c r="I286" s="89" t="n"/>
    </row>
    <row r="287" hidden="1" s="103">
      <c r="E287" s="89">
        <f>IF($J287="","",+J287/2)</f>
        <v/>
      </c>
      <c r="F287" s="89">
        <f>IF($J287="","",+E287/2)</f>
        <v/>
      </c>
      <c r="G287" s="89">
        <f>IF($J287="","",+F287)</f>
        <v/>
      </c>
      <c r="H287" s="89" t="n"/>
      <c r="I287" s="89" t="n"/>
    </row>
    <row r="288" hidden="1" s="103">
      <c r="E288" s="89">
        <f>IF($J288="","",+J288/2)</f>
        <v/>
      </c>
      <c r="F288" s="89">
        <f>IF($J288="","",+E288/2)</f>
        <v/>
      </c>
      <c r="G288" s="89">
        <f>IF($J288="","",+F288)</f>
        <v/>
      </c>
      <c r="H288" s="89" t="n"/>
      <c r="I288" s="89" t="n"/>
    </row>
    <row r="289" hidden="1" s="103">
      <c r="E289" s="89">
        <f>IF($J289="","",+J289/2)</f>
        <v/>
      </c>
      <c r="F289" s="89">
        <f>IF($J289="","",+E289/2)</f>
        <v/>
      </c>
      <c r="G289" s="89">
        <f>IF($J289="","",+F289)</f>
        <v/>
      </c>
      <c r="H289" s="89" t="n"/>
      <c r="I289" s="89" t="n"/>
    </row>
    <row r="290" hidden="1" s="103">
      <c r="E290" s="89">
        <f>IF($J290="","",+J290/2)</f>
        <v/>
      </c>
      <c r="F290" s="89">
        <f>IF($J290="","",+E290/2)</f>
        <v/>
      </c>
      <c r="G290" s="89">
        <f>IF($J290="","",+F290)</f>
        <v/>
      </c>
      <c r="H290" s="89" t="n"/>
      <c r="I290" s="89" t="n"/>
    </row>
    <row r="291" hidden="1" s="103">
      <c r="E291" s="89">
        <f>IF($J291="","",+J291/2)</f>
        <v/>
      </c>
      <c r="F291" s="89">
        <f>IF($J291="","",+E291/2)</f>
        <v/>
      </c>
      <c r="G291" s="89">
        <f>IF($J291="","",+F291)</f>
        <v/>
      </c>
      <c r="H291" s="89" t="n"/>
      <c r="I291" s="89" t="n"/>
    </row>
    <row r="292" hidden="1" s="103">
      <c r="E292" s="89">
        <f>IF($J292="","",+J292/2)</f>
        <v/>
      </c>
      <c r="F292" s="89">
        <f>IF($J292="","",+E292/2)</f>
        <v/>
      </c>
      <c r="G292" s="89">
        <f>IF($J292="","",+F292)</f>
        <v/>
      </c>
      <c r="H292" s="89" t="n"/>
      <c r="I292" s="89" t="n"/>
    </row>
    <row r="293" hidden="1" s="103">
      <c r="E293" s="89">
        <f>IF($J293="","",+J293/2)</f>
        <v/>
      </c>
      <c r="F293" s="89">
        <f>IF($J293="","",+E293/2)</f>
        <v/>
      </c>
      <c r="G293" s="89">
        <f>IF($J293="","",+F293)</f>
        <v/>
      </c>
      <c r="H293" s="89" t="n"/>
      <c r="I293" s="89" t="n"/>
    </row>
    <row r="294" hidden="1" s="103">
      <c r="E294" s="89">
        <f>IF($J294="","",+J294/2)</f>
        <v/>
      </c>
      <c r="F294" s="89">
        <f>IF($J294="","",+E294/2)</f>
        <v/>
      </c>
      <c r="G294" s="89">
        <f>IF($J294="","",+F294)</f>
        <v/>
      </c>
      <c r="H294" s="89" t="n"/>
      <c r="I294" s="89" t="n"/>
    </row>
    <row r="295" hidden="1" s="103">
      <c r="E295" s="89">
        <f>IF($J295="","",+J295/2)</f>
        <v/>
      </c>
      <c r="F295" s="89">
        <f>IF($J295="","",+E295/2)</f>
        <v/>
      </c>
      <c r="G295" s="89">
        <f>IF($J295="","",+F295)</f>
        <v/>
      </c>
      <c r="H295" s="89" t="n"/>
      <c r="I295" s="89" t="n"/>
    </row>
    <row r="296" hidden="1" s="103">
      <c r="E296" s="89">
        <f>IF($J296="","",+J296/2)</f>
        <v/>
      </c>
      <c r="F296" s="89">
        <f>IF($J296="","",+E296/2)</f>
        <v/>
      </c>
      <c r="G296" s="89">
        <f>IF($J296="","",+F296)</f>
        <v/>
      </c>
      <c r="H296" s="89" t="n"/>
      <c r="I296" s="89" t="n"/>
    </row>
    <row r="297" hidden="1" s="103">
      <c r="E297" s="89">
        <f>IF($J297="","",+J297/2)</f>
        <v/>
      </c>
      <c r="F297" s="89">
        <f>IF($J297="","",+E297/2)</f>
        <v/>
      </c>
      <c r="G297" s="89">
        <f>IF($J297="","",+F297)</f>
        <v/>
      </c>
      <c r="H297" s="89" t="n"/>
      <c r="I297" s="89" t="n"/>
    </row>
    <row r="298" hidden="1" s="103">
      <c r="E298" s="89">
        <f>IF($J298="","",+J298/2)</f>
        <v/>
      </c>
      <c r="F298" s="89">
        <f>IF($J298="","",+E298/2)</f>
        <v/>
      </c>
      <c r="G298" s="89">
        <f>IF($J298="","",+F298)</f>
        <v/>
      </c>
      <c r="H298" s="89" t="n"/>
      <c r="I298" s="89" t="n"/>
    </row>
    <row r="299" hidden="1" s="103">
      <c r="E299" s="89">
        <f>IF($J299="","",+J299/2)</f>
        <v/>
      </c>
      <c r="F299" s="89">
        <f>IF($J299="","",+E299/2)</f>
        <v/>
      </c>
      <c r="G299" s="89">
        <f>IF($J299="","",+F299)</f>
        <v/>
      </c>
      <c r="H299" s="89" t="n"/>
      <c r="I299" s="89" t="n"/>
    </row>
    <row r="300" hidden="1" s="103">
      <c r="E300" s="89">
        <f>IF($J300="","",+J300/2)</f>
        <v/>
      </c>
      <c r="F300" s="89">
        <f>IF($J300="","",+E300/2)</f>
        <v/>
      </c>
      <c r="G300" s="89">
        <f>IF($J300="","",+F300)</f>
        <v/>
      </c>
      <c r="H300" s="89" t="n"/>
      <c r="I300" s="89" t="n"/>
    </row>
    <row r="301" hidden="1" s="103">
      <c r="E301" s="89">
        <f>IF($J301="","",+J301/2)</f>
        <v/>
      </c>
      <c r="F301" s="89">
        <f>IF($J301="","",+E301/2)</f>
        <v/>
      </c>
      <c r="G301" s="89">
        <f>IF($J301="","",+F301)</f>
        <v/>
      </c>
      <c r="H301" s="89" t="n"/>
      <c r="I301" s="89" t="n"/>
    </row>
    <row r="302" hidden="1" s="103">
      <c r="E302" s="89">
        <f>IF($J302="","",+J302/2)</f>
        <v/>
      </c>
      <c r="F302" s="89">
        <f>IF($J302="","",+E302/2)</f>
        <v/>
      </c>
      <c r="G302" s="89">
        <f>IF($J302="","",+F302)</f>
        <v/>
      </c>
      <c r="H302" s="89" t="n"/>
      <c r="I302" s="89" t="n"/>
    </row>
    <row r="303" hidden="1" s="103">
      <c r="E303" s="89">
        <f>IF($J303="","",+J303/2)</f>
        <v/>
      </c>
      <c r="F303" s="89">
        <f>IF($J303="","",+E303/2)</f>
        <v/>
      </c>
      <c r="G303" s="89">
        <f>IF($J303="","",+F303)</f>
        <v/>
      </c>
      <c r="H303" s="89" t="n"/>
      <c r="I303" s="89" t="n"/>
    </row>
    <row r="304" hidden="1" s="103">
      <c r="E304" s="89">
        <f>IF($J304="","",+J304/2)</f>
        <v/>
      </c>
      <c r="F304" s="89">
        <f>IF($J304="","",+E304/2)</f>
        <v/>
      </c>
      <c r="G304" s="89">
        <f>IF($J304="","",+F304)</f>
        <v/>
      </c>
      <c r="H304" s="89" t="n"/>
      <c r="I304" s="89" t="n"/>
    </row>
    <row r="305" hidden="1" s="103">
      <c r="E305" s="89">
        <f>IF($J305="","",+J305/2)</f>
        <v/>
      </c>
      <c r="F305" s="89">
        <f>IF($J305="","",+E305/2)</f>
        <v/>
      </c>
      <c r="G305" s="89">
        <f>IF($J305="","",+F305)</f>
        <v/>
      </c>
      <c r="H305" s="89" t="n"/>
      <c r="I305" s="89" t="n"/>
    </row>
    <row r="306" hidden="1" s="103">
      <c r="E306" s="89">
        <f>IF($J306="","",+J306/2)</f>
        <v/>
      </c>
      <c r="F306" s="89">
        <f>IF($J306="","",+E306/2)</f>
        <v/>
      </c>
      <c r="G306" s="89">
        <f>IF($J306="","",+F306)</f>
        <v/>
      </c>
      <c r="H306" s="89" t="n"/>
      <c r="I306" s="89" t="n"/>
    </row>
    <row r="307" hidden="1" s="103">
      <c r="E307" s="89">
        <f>IF($J307="","",+J307/2)</f>
        <v/>
      </c>
      <c r="F307" s="89">
        <f>IF($J307="","",+E307/2)</f>
        <v/>
      </c>
      <c r="G307" s="89">
        <f>IF($J307="","",+F307)</f>
        <v/>
      </c>
      <c r="H307" s="89" t="n"/>
      <c r="I307" s="89" t="n"/>
    </row>
    <row r="308" hidden="1" s="103">
      <c r="E308" s="89">
        <f>IF($J308="","",+J308/2)</f>
        <v/>
      </c>
      <c r="F308" s="89">
        <f>IF($J308="","",+E308/2)</f>
        <v/>
      </c>
      <c r="G308" s="89">
        <f>IF($J308="","",+F308)</f>
        <v/>
      </c>
      <c r="H308" s="89" t="n"/>
      <c r="I308" s="89" t="n"/>
    </row>
    <row r="309" hidden="1" s="103">
      <c r="E309" s="89">
        <f>IF($J309="","",+J309/2)</f>
        <v/>
      </c>
      <c r="F309" s="89">
        <f>IF($J309="","",+E309/2)</f>
        <v/>
      </c>
      <c r="G309" s="89">
        <f>IF($J309="","",+F309)</f>
        <v/>
      </c>
      <c r="H309" s="89" t="n"/>
      <c r="I309" s="89" t="n"/>
    </row>
    <row r="310" hidden="1" s="103">
      <c r="E310" s="89">
        <f>IF($J310="","",+J310/2)</f>
        <v/>
      </c>
      <c r="F310" s="89">
        <f>IF($J310="","",+E310/2)</f>
        <v/>
      </c>
      <c r="G310" s="89">
        <f>IF($J310="","",+F310)</f>
        <v/>
      </c>
      <c r="H310" s="89" t="n"/>
      <c r="I310" s="89" t="n"/>
    </row>
    <row r="311" hidden="1" s="103">
      <c r="E311" s="89">
        <f>IF($J311="","",+J311/2)</f>
        <v/>
      </c>
      <c r="F311" s="89">
        <f>IF($J311="","",+E311/2)</f>
        <v/>
      </c>
      <c r="G311" s="89">
        <f>IF($J311="","",+F311)</f>
        <v/>
      </c>
      <c r="H311" s="89" t="n"/>
      <c r="I311" s="89" t="n"/>
    </row>
    <row r="312" hidden="1" s="103">
      <c r="E312" s="89">
        <f>IF($J312="","",+J312/2)</f>
        <v/>
      </c>
      <c r="F312" s="89">
        <f>IF($J312="","",+E312/2)</f>
        <v/>
      </c>
      <c r="G312" s="89">
        <f>IF($J312="","",+F312)</f>
        <v/>
      </c>
      <c r="H312" s="89" t="n"/>
      <c r="I312" s="89" t="n"/>
    </row>
    <row r="313" hidden="1" s="103">
      <c r="E313" s="89">
        <f>IF($J313="","",+J313/2)</f>
        <v/>
      </c>
      <c r="F313" s="89">
        <f>IF($J313="","",+E313/2)</f>
        <v/>
      </c>
      <c r="G313" s="89">
        <f>IF($J313="","",+F313)</f>
        <v/>
      </c>
      <c r="H313" s="89" t="n"/>
      <c r="I313" s="89" t="n"/>
    </row>
    <row r="314" hidden="1" s="103">
      <c r="E314" s="89">
        <f>IF($J314="","",+J314/2)</f>
        <v/>
      </c>
      <c r="F314" s="89">
        <f>IF($J314="","",+E314/2)</f>
        <v/>
      </c>
      <c r="G314" s="89">
        <f>IF($J314="","",+F314)</f>
        <v/>
      </c>
      <c r="H314" s="89" t="n"/>
      <c r="I314" s="89" t="n"/>
    </row>
    <row r="315" hidden="1" s="103">
      <c r="E315" s="89">
        <f>IF($J315="","",+J315/2)</f>
        <v/>
      </c>
      <c r="F315" s="89">
        <f>IF($J315="","",+E315/2)</f>
        <v/>
      </c>
      <c r="G315" s="89">
        <f>IF($J315="","",+F315)</f>
        <v/>
      </c>
      <c r="H315" s="89" t="n"/>
      <c r="I315" s="89" t="n"/>
    </row>
    <row r="316" hidden="1" s="103">
      <c r="E316" s="89">
        <f>IF($J316="","",+J316/2)</f>
        <v/>
      </c>
      <c r="F316" s="89">
        <f>IF($J316="","",+E316/2)</f>
        <v/>
      </c>
      <c r="G316" s="89">
        <f>IF($J316="","",+F316)</f>
        <v/>
      </c>
      <c r="H316" s="89" t="n"/>
      <c r="I316" s="89" t="n"/>
    </row>
    <row r="317" hidden="1" s="103">
      <c r="E317" s="89">
        <f>IF($J317="","",+J317/2)</f>
        <v/>
      </c>
      <c r="F317" s="89">
        <f>IF($J317="","",+E317/2)</f>
        <v/>
      </c>
      <c r="G317" s="89">
        <f>IF($J317="","",+F317)</f>
        <v/>
      </c>
      <c r="H317" s="89" t="n"/>
      <c r="I317" s="89" t="n"/>
    </row>
    <row r="318" hidden="1" s="103">
      <c r="E318" s="89">
        <f>IF($J318="","",+J318/2)</f>
        <v/>
      </c>
      <c r="F318" s="89">
        <f>IF($J318="","",+E318/2)</f>
        <v/>
      </c>
      <c r="G318" s="89">
        <f>IF($J318="","",+F318)</f>
        <v/>
      </c>
      <c r="H318" s="89" t="n"/>
      <c r="I318" s="89" t="n"/>
    </row>
    <row r="319" hidden="1" s="103">
      <c r="E319" s="89">
        <f>IF($J319="","",+J319/2)</f>
        <v/>
      </c>
      <c r="F319" s="89">
        <f>IF($J319="","",+E319/2)</f>
        <v/>
      </c>
      <c r="G319" s="89">
        <f>IF($J319="","",+F319)</f>
        <v/>
      </c>
      <c r="H319" s="89" t="n"/>
      <c r="I319" s="89" t="n"/>
    </row>
    <row r="320" hidden="1" s="103">
      <c r="E320" s="89">
        <f>IF($J320="","",+J320/2)</f>
        <v/>
      </c>
      <c r="F320" s="89">
        <f>IF($J320="","",+E320/2)</f>
        <v/>
      </c>
      <c r="G320" s="89">
        <f>IF($J320="","",+F320)</f>
        <v/>
      </c>
      <c r="H320" s="89" t="n"/>
      <c r="I320" s="89" t="n"/>
    </row>
    <row r="321" hidden="1" s="103">
      <c r="E321" s="89">
        <f>IF($J321="","",+J321/2)</f>
        <v/>
      </c>
      <c r="F321" s="89">
        <f>IF($J321="","",+E321/2)</f>
        <v/>
      </c>
      <c r="G321" s="89">
        <f>IF($J321="","",+F321)</f>
        <v/>
      </c>
      <c r="H321" s="89" t="n"/>
      <c r="I321" s="89" t="n"/>
    </row>
    <row r="322" hidden="1" s="103">
      <c r="E322" s="89">
        <f>IF($J322="","",+J322/2)</f>
        <v/>
      </c>
      <c r="F322" s="89">
        <f>IF($J322="","",+E322/2)</f>
        <v/>
      </c>
      <c r="G322" s="89">
        <f>IF($J322="","",+F322)</f>
        <v/>
      </c>
      <c r="H322" s="89" t="n"/>
      <c r="I322" s="89" t="n"/>
    </row>
    <row r="323" hidden="1" s="103">
      <c r="E323" s="89">
        <f>IF($J323="","",+J323/2)</f>
        <v/>
      </c>
      <c r="F323" s="89">
        <f>IF($J323="","",+E323/2)</f>
        <v/>
      </c>
      <c r="G323" s="89">
        <f>IF($J323="","",+F323)</f>
        <v/>
      </c>
      <c r="H323" s="89" t="n"/>
      <c r="I323" s="89" t="n"/>
    </row>
    <row r="324" hidden="1" s="103">
      <c r="E324" s="89">
        <f>IF($J324="","",+J324/2)</f>
        <v/>
      </c>
      <c r="F324" s="89">
        <f>IF($J324="","",+E324/2)</f>
        <v/>
      </c>
      <c r="G324" s="89">
        <f>IF($J324="","",+F324)</f>
        <v/>
      </c>
      <c r="H324" s="89" t="n"/>
      <c r="I324" s="89" t="n"/>
    </row>
    <row r="325" hidden="1" s="103">
      <c r="E325" s="89">
        <f>IF($J325="","",+J325/2)</f>
        <v/>
      </c>
      <c r="F325" s="89">
        <f>IF($J325="","",+E325/2)</f>
        <v/>
      </c>
      <c r="G325" s="89">
        <f>IF($J325="","",+F325)</f>
        <v/>
      </c>
      <c r="H325" s="89" t="n"/>
      <c r="I325" s="89" t="n"/>
    </row>
    <row r="326" hidden="1" s="103">
      <c r="E326" s="89">
        <f>IF($J326="","",+J326/2)</f>
        <v/>
      </c>
      <c r="F326" s="89">
        <f>IF($J326="","",+E326/2)</f>
        <v/>
      </c>
      <c r="G326" s="89">
        <f>IF($J326="","",+F326)</f>
        <v/>
      </c>
      <c r="H326" s="89" t="n"/>
      <c r="I326" s="89" t="n"/>
    </row>
    <row r="327" hidden="1" s="103">
      <c r="E327" s="89">
        <f>IF($J327="","",+J327/2)</f>
        <v/>
      </c>
      <c r="F327" s="89">
        <f>IF($J327="","",+E327/2)</f>
        <v/>
      </c>
      <c r="G327" s="89">
        <f>IF($J327="","",+F327)</f>
        <v/>
      </c>
      <c r="H327" s="89" t="n"/>
      <c r="I327" s="89" t="n"/>
    </row>
    <row r="328" hidden="1" s="103">
      <c r="E328" s="89">
        <f>IF($J328="","",+J328/2)</f>
        <v/>
      </c>
      <c r="F328" s="89">
        <f>IF($J328="","",+E328/2)</f>
        <v/>
      </c>
      <c r="G328" s="89">
        <f>IF($J328="","",+F328)</f>
        <v/>
      </c>
      <c r="H328" s="89" t="n"/>
      <c r="I328" s="89" t="n"/>
    </row>
    <row r="329" hidden="1" s="103">
      <c r="E329" s="89">
        <f>IF($J329="","",+J329/2)</f>
        <v/>
      </c>
      <c r="F329" s="89">
        <f>IF($J329="","",+E329/2)</f>
        <v/>
      </c>
      <c r="G329" s="89">
        <f>IF($J329="","",+F329)</f>
        <v/>
      </c>
      <c r="H329" s="89" t="n"/>
      <c r="I329" s="89" t="n"/>
    </row>
    <row r="330" hidden="1" s="103">
      <c r="E330" s="89">
        <f>IF($J330="","",+J330/2)</f>
        <v/>
      </c>
      <c r="F330" s="89">
        <f>IF($J330="","",+E330/2)</f>
        <v/>
      </c>
      <c r="G330" s="89">
        <f>IF($J330="","",+F330)</f>
        <v/>
      </c>
      <c r="H330" s="89" t="n"/>
      <c r="I330" s="89" t="n"/>
    </row>
    <row r="331" hidden="1" s="103">
      <c r="E331" s="89">
        <f>IF($J331="","",+J331/2)</f>
        <v/>
      </c>
      <c r="F331" s="89">
        <f>IF($J331="","",+E331/2)</f>
        <v/>
      </c>
      <c r="G331" s="89">
        <f>IF($J331="","",+F331)</f>
        <v/>
      </c>
      <c r="H331" s="89" t="n"/>
      <c r="I331" s="89" t="n"/>
    </row>
    <row r="332" hidden="1" s="103">
      <c r="E332" s="89">
        <f>IF($J332="","",+J332/2)</f>
        <v/>
      </c>
      <c r="F332" s="89">
        <f>IF($J332="","",+E332/2)</f>
        <v/>
      </c>
      <c r="G332" s="89">
        <f>IF($J332="","",+F332)</f>
        <v/>
      </c>
      <c r="H332" s="89" t="n"/>
      <c r="I332" s="89" t="n"/>
    </row>
    <row r="333" hidden="1" s="103">
      <c r="E333" s="89">
        <f>IF($J333="","",+J333/2)</f>
        <v/>
      </c>
      <c r="F333" s="89">
        <f>IF($J333="","",+E333/2)</f>
        <v/>
      </c>
      <c r="G333" s="89">
        <f>IF($J333="","",+F333)</f>
        <v/>
      </c>
      <c r="H333" s="89" t="n"/>
      <c r="I333" s="89" t="n"/>
    </row>
    <row r="334" hidden="1" s="103">
      <c r="E334" s="89">
        <f>IF($J334="","",+J334/2)</f>
        <v/>
      </c>
      <c r="F334" s="89">
        <f>IF($J334="","",+E334/2)</f>
        <v/>
      </c>
      <c r="G334" s="89">
        <f>IF($J334="","",+F334)</f>
        <v/>
      </c>
      <c r="H334" s="89" t="n"/>
      <c r="I334" s="89" t="n"/>
    </row>
    <row r="335" hidden="1" s="103">
      <c r="E335" s="89">
        <f>IF($J335="","",+J335/2)</f>
        <v/>
      </c>
      <c r="F335" s="89">
        <f>IF($J335="","",+E335/2)</f>
        <v/>
      </c>
      <c r="G335" s="89">
        <f>IF($J335="","",+F335)</f>
        <v/>
      </c>
      <c r="H335" s="89" t="n"/>
      <c r="I335" s="89" t="n"/>
    </row>
    <row r="336" hidden="1" s="103">
      <c r="E336" s="89">
        <f>IF($J336="","",+J336/2)</f>
        <v/>
      </c>
      <c r="F336" s="89">
        <f>IF($J336="","",+E336/2)</f>
        <v/>
      </c>
      <c r="G336" s="89">
        <f>IF($J336="","",+F336)</f>
        <v/>
      </c>
      <c r="H336" s="89" t="n"/>
      <c r="I336" s="89" t="n"/>
    </row>
    <row r="337" hidden="1" s="103">
      <c r="E337" s="89">
        <f>IF($J337="","",+J337/2)</f>
        <v/>
      </c>
      <c r="F337" s="89">
        <f>IF($J337="","",+E337/2)</f>
        <v/>
      </c>
      <c r="G337" s="89">
        <f>IF($J337="","",+F337)</f>
        <v/>
      </c>
      <c r="H337" s="89" t="n"/>
      <c r="I337" s="89" t="n"/>
    </row>
    <row r="338" hidden="1" s="103">
      <c r="E338" s="89">
        <f>IF($J338="","",+J338/2)</f>
        <v/>
      </c>
      <c r="F338" s="89">
        <f>IF($J338="","",+E338/2)</f>
        <v/>
      </c>
      <c r="G338" s="89">
        <f>IF($J338="","",+F338)</f>
        <v/>
      </c>
      <c r="H338" s="89" t="n"/>
      <c r="I338" s="89" t="n"/>
    </row>
    <row r="339" hidden="1" s="103">
      <c r="E339" s="89">
        <f>IF($J339="","",+J339/2)</f>
        <v/>
      </c>
      <c r="F339" s="89">
        <f>IF($J339="","",+E339/2)</f>
        <v/>
      </c>
      <c r="G339" s="89">
        <f>IF($J339="","",+F339)</f>
        <v/>
      </c>
      <c r="H339" s="89" t="n"/>
      <c r="I339" s="89" t="n"/>
    </row>
    <row r="340" hidden="1" s="103">
      <c r="E340" s="89">
        <f>IF($J340="","",+J340/2)</f>
        <v/>
      </c>
      <c r="F340" s="89">
        <f>IF($J340="","",+E340/2)</f>
        <v/>
      </c>
      <c r="G340" s="89">
        <f>IF($J340="","",+F340)</f>
        <v/>
      </c>
      <c r="H340" s="89" t="n"/>
      <c r="I340" s="89" t="n"/>
    </row>
    <row r="341" hidden="1" s="103">
      <c r="E341" s="89">
        <f>IF($J341="","",+J341/2)</f>
        <v/>
      </c>
      <c r="F341" s="89">
        <f>IF($J341="","",+E341/2)</f>
        <v/>
      </c>
      <c r="G341" s="89">
        <f>IF($J341="","",+F341)</f>
        <v/>
      </c>
      <c r="H341" s="89" t="n"/>
      <c r="I341" s="89" t="n"/>
    </row>
    <row r="342" hidden="1" s="103">
      <c r="E342" s="89">
        <f>IF($J342="","",+J342/2)</f>
        <v/>
      </c>
      <c r="F342" s="89">
        <f>IF($J342="","",+E342/2)</f>
        <v/>
      </c>
      <c r="G342" s="89">
        <f>IF($J342="","",+F342)</f>
        <v/>
      </c>
      <c r="H342" s="89" t="n"/>
      <c r="I342" s="89" t="n"/>
    </row>
    <row r="343" hidden="1" s="103">
      <c r="E343" s="89">
        <f>IF($J343="","",+J343/2)</f>
        <v/>
      </c>
      <c r="F343" s="89">
        <f>IF($J343="","",+E343/2)</f>
        <v/>
      </c>
      <c r="G343" s="89">
        <f>IF($J343="","",+F343)</f>
        <v/>
      </c>
      <c r="H343" s="89" t="n"/>
      <c r="I343" s="89" t="n"/>
    </row>
    <row r="344" hidden="1" s="103">
      <c r="E344" s="89">
        <f>IF($J344="","",+J344/2)</f>
        <v/>
      </c>
      <c r="F344" s="89">
        <f>IF($J344="","",+E344/2)</f>
        <v/>
      </c>
      <c r="G344" s="89">
        <f>IF($J344="","",+F344)</f>
        <v/>
      </c>
      <c r="H344" s="89" t="n"/>
      <c r="I344" s="89" t="n"/>
    </row>
    <row r="345" hidden="1" s="103">
      <c r="E345" s="89">
        <f>IF($J345="","",+J345/2)</f>
        <v/>
      </c>
      <c r="F345" s="89">
        <f>IF($J345="","",+E345/2)</f>
        <v/>
      </c>
      <c r="G345" s="89">
        <f>IF($J345="","",+F345)</f>
        <v/>
      </c>
      <c r="H345" s="89" t="n"/>
      <c r="I345" s="89" t="n"/>
    </row>
    <row r="346" hidden="1" s="103">
      <c r="E346" s="89">
        <f>IF($J346="","",+J346/2)</f>
        <v/>
      </c>
      <c r="F346" s="89">
        <f>IF($J346="","",+E346/2)</f>
        <v/>
      </c>
      <c r="G346" s="89">
        <f>IF($J346="","",+F346)</f>
        <v/>
      </c>
      <c r="H346" s="89" t="n"/>
      <c r="I346" s="89" t="n"/>
    </row>
    <row r="347" hidden="1" s="103">
      <c r="E347" s="89">
        <f>IF($J347="","",+J347/2)</f>
        <v/>
      </c>
      <c r="F347" s="89">
        <f>IF($J347="","",+E347/2)</f>
        <v/>
      </c>
      <c r="G347" s="89">
        <f>IF($J347="","",+F347)</f>
        <v/>
      </c>
      <c r="H347" s="89" t="n"/>
      <c r="I347" s="89" t="n"/>
    </row>
    <row r="348" hidden="1" s="103">
      <c r="E348" s="89">
        <f>IF($J348="","",+J348/2)</f>
        <v/>
      </c>
      <c r="F348" s="89">
        <f>IF($J348="","",+E348/2)</f>
        <v/>
      </c>
      <c r="G348" s="89">
        <f>IF($J348="","",+F348)</f>
        <v/>
      </c>
      <c r="H348" s="89" t="n"/>
      <c r="I348" s="89" t="n"/>
    </row>
    <row r="349" hidden="1" s="103">
      <c r="E349" s="89">
        <f>IF($J349="","",+J349/2)</f>
        <v/>
      </c>
      <c r="F349" s="89">
        <f>IF($J349="","",+E349/2)</f>
        <v/>
      </c>
      <c r="G349" s="89">
        <f>IF($J349="","",+F349)</f>
        <v/>
      </c>
      <c r="H349" s="89" t="n"/>
      <c r="I349" s="89" t="n"/>
    </row>
    <row r="350" hidden="1" s="103">
      <c r="E350" s="89">
        <f>IF($J350="","",+J350/2)</f>
        <v/>
      </c>
      <c r="F350" s="89">
        <f>IF($J350="","",+E350/2)</f>
        <v/>
      </c>
      <c r="G350" s="89">
        <f>IF($J350="","",+F350)</f>
        <v/>
      </c>
      <c r="H350" s="89" t="n"/>
      <c r="I350" s="89" t="n"/>
    </row>
    <row r="351" hidden="1" s="103">
      <c r="E351" s="89">
        <f>IF($J351="","",+J351/2)</f>
        <v/>
      </c>
      <c r="F351" s="89">
        <f>IF($J351="","",+E351/2)</f>
        <v/>
      </c>
      <c r="G351" s="89">
        <f>IF($J351="","",+F351)</f>
        <v/>
      </c>
      <c r="H351" s="89" t="n"/>
      <c r="I351" s="89" t="n"/>
    </row>
    <row r="352" hidden="1" s="103">
      <c r="E352" s="89">
        <f>IF($J352="","",+J352/2)</f>
        <v/>
      </c>
      <c r="F352" s="89">
        <f>IF($J352="","",+E352/2)</f>
        <v/>
      </c>
      <c r="G352" s="89">
        <f>IF($J352="","",+F352)</f>
        <v/>
      </c>
      <c r="H352" s="89" t="n"/>
      <c r="I352" s="89" t="n"/>
    </row>
    <row r="353" hidden="1" s="103">
      <c r="E353" s="89">
        <f>IF($J353="","",+J353/2)</f>
        <v/>
      </c>
      <c r="F353" s="89">
        <f>IF($J353="","",+E353/2)</f>
        <v/>
      </c>
      <c r="G353" s="89">
        <f>IF($J353="","",+F353)</f>
        <v/>
      </c>
      <c r="H353" s="89" t="n"/>
      <c r="I353" s="89" t="n"/>
    </row>
    <row r="354" hidden="1" s="103">
      <c r="E354" s="89">
        <f>IF($J354="","",+J354/2)</f>
        <v/>
      </c>
      <c r="F354" s="89">
        <f>IF($J354="","",+E354/2)</f>
        <v/>
      </c>
      <c r="G354" s="89">
        <f>IF($J354="","",+F354)</f>
        <v/>
      </c>
      <c r="H354" s="89" t="n"/>
      <c r="I354" s="89" t="n"/>
    </row>
    <row r="355" hidden="1" s="103">
      <c r="E355" s="89">
        <f>IF($J355="","",+J355/2)</f>
        <v/>
      </c>
      <c r="F355" s="89">
        <f>IF($J355="","",+E355/2)</f>
        <v/>
      </c>
      <c r="G355" s="89">
        <f>IF($J355="","",+F355)</f>
        <v/>
      </c>
      <c r="H355" s="89" t="n"/>
      <c r="I355" s="89" t="n"/>
    </row>
    <row r="356" hidden="1" s="103">
      <c r="E356" s="89">
        <f>IF($J356="","",+J356/2)</f>
        <v/>
      </c>
      <c r="F356" s="89">
        <f>IF($J356="","",+E356/2)</f>
        <v/>
      </c>
      <c r="G356" s="89">
        <f>IF($J356="","",+F356)</f>
        <v/>
      </c>
      <c r="H356" s="89" t="n"/>
      <c r="I356" s="89" t="n"/>
    </row>
    <row r="357" hidden="1" s="103">
      <c r="E357" s="89">
        <f>IF($J357="","",+J357/2)</f>
        <v/>
      </c>
      <c r="F357" s="89">
        <f>IF($J357="","",+E357/2)</f>
        <v/>
      </c>
      <c r="G357" s="89">
        <f>IF($J357="","",+F357)</f>
        <v/>
      </c>
      <c r="H357" s="89" t="n"/>
      <c r="I357" s="89" t="n"/>
    </row>
    <row r="358" hidden="1" s="103">
      <c r="E358" s="89">
        <f>IF($J358="","",+J358/2)</f>
        <v/>
      </c>
      <c r="F358" s="89">
        <f>IF($J358="","",+E358/2)</f>
        <v/>
      </c>
      <c r="G358" s="89">
        <f>IF($J358="","",+F358)</f>
        <v/>
      </c>
      <c r="H358" s="89" t="n"/>
      <c r="I358" s="89" t="n"/>
    </row>
    <row r="359" hidden="1" s="103">
      <c r="E359" s="89">
        <f>IF($J359="","",+J359/2)</f>
        <v/>
      </c>
      <c r="F359" s="89">
        <f>IF($J359="","",+E359/2)</f>
        <v/>
      </c>
      <c r="G359" s="89">
        <f>IF($J359="","",+F359)</f>
        <v/>
      </c>
      <c r="H359" s="89" t="n"/>
      <c r="I359" s="89" t="n"/>
    </row>
    <row r="360" hidden="1" s="103">
      <c r="E360" s="89">
        <f>IF($J360="","",+J360/2)</f>
        <v/>
      </c>
      <c r="F360" s="89">
        <f>IF($J360="","",+E360/2)</f>
        <v/>
      </c>
      <c r="G360" s="89">
        <f>IF($J360="","",+F360)</f>
        <v/>
      </c>
      <c r="H360" s="89" t="n"/>
      <c r="I360" s="89" t="n"/>
    </row>
    <row r="361" hidden="1" s="103">
      <c r="E361" s="89">
        <f>IF($J361="","",+J361/2)</f>
        <v/>
      </c>
      <c r="F361" s="89">
        <f>IF($J361="","",+E361/2)</f>
        <v/>
      </c>
      <c r="G361" s="89">
        <f>IF($J361="","",+F361)</f>
        <v/>
      </c>
      <c r="H361" s="89" t="n"/>
      <c r="I361" s="89" t="n"/>
    </row>
    <row r="362" hidden="1" s="103">
      <c r="E362" s="89">
        <f>IF($J362="","",+J362/2)</f>
        <v/>
      </c>
      <c r="F362" s="89">
        <f>IF($J362="","",+E362/2)</f>
        <v/>
      </c>
      <c r="G362" s="89">
        <f>IF($J362="","",+F362)</f>
        <v/>
      </c>
      <c r="H362" s="89" t="n"/>
      <c r="I362" s="89" t="n"/>
    </row>
    <row r="363" hidden="1" s="103">
      <c r="E363" s="89">
        <f>IF($J363="","",+J363/2)</f>
        <v/>
      </c>
      <c r="F363" s="89">
        <f>IF($J363="","",+E363/2)</f>
        <v/>
      </c>
      <c r="G363" s="89">
        <f>IF($J363="","",+F363)</f>
        <v/>
      </c>
      <c r="H363" s="89" t="n"/>
      <c r="I363" s="89" t="n"/>
    </row>
    <row r="364" hidden="1" s="103">
      <c r="E364" s="89">
        <f>IF($J364="","",+J364/2)</f>
        <v/>
      </c>
      <c r="F364" s="89">
        <f>IF($J364="","",+E364/2)</f>
        <v/>
      </c>
      <c r="G364" s="89">
        <f>IF($J364="","",+F364)</f>
        <v/>
      </c>
      <c r="H364" s="89" t="n"/>
      <c r="I364" s="89" t="n"/>
    </row>
    <row r="365" hidden="1" s="103">
      <c r="E365" s="89">
        <f>IF($J365="","",+J365/2)</f>
        <v/>
      </c>
      <c r="F365" s="89">
        <f>IF($J365="","",+E365/2)</f>
        <v/>
      </c>
      <c r="G365" s="89">
        <f>IF($J365="","",+F365)</f>
        <v/>
      </c>
      <c r="H365" s="89" t="n"/>
      <c r="I365" s="89" t="n"/>
    </row>
    <row r="366" hidden="1" s="103">
      <c r="E366" s="89">
        <f>IF($J366="","",+J366/2)</f>
        <v/>
      </c>
      <c r="F366" s="89">
        <f>IF($J366="","",+E366/2)</f>
        <v/>
      </c>
      <c r="G366" s="89">
        <f>IF($J366="","",+F366)</f>
        <v/>
      </c>
      <c r="H366" s="89" t="n"/>
      <c r="I366" s="89" t="n"/>
    </row>
    <row r="367" hidden="1" s="103">
      <c r="E367" s="89">
        <f>IF($J367="","",+J367/2)</f>
        <v/>
      </c>
      <c r="F367" s="89">
        <f>IF($J367="","",+E367/2)</f>
        <v/>
      </c>
      <c r="G367" s="89">
        <f>IF($J367="","",+F367)</f>
        <v/>
      </c>
      <c r="H367" s="89" t="n"/>
      <c r="I367" s="89" t="n"/>
    </row>
    <row r="368" hidden="1" s="103">
      <c r="E368" s="89">
        <f>IF($J368="","",+J368/2)</f>
        <v/>
      </c>
      <c r="F368" s="89">
        <f>IF($J368="","",+E368/2)</f>
        <v/>
      </c>
      <c r="G368" s="89">
        <f>IF($J368="","",+F368)</f>
        <v/>
      </c>
      <c r="H368" s="89" t="n"/>
      <c r="I368" s="89" t="n"/>
    </row>
    <row r="369" hidden="1" s="103">
      <c r="E369" s="89">
        <f>IF($J369="","",+J369/2)</f>
        <v/>
      </c>
      <c r="F369" s="89">
        <f>IF($J369="","",+E369/2)</f>
        <v/>
      </c>
      <c r="G369" s="89">
        <f>IF($J369="","",+F369)</f>
        <v/>
      </c>
      <c r="H369" s="89" t="n"/>
      <c r="I369" s="89" t="n"/>
    </row>
    <row r="370" hidden="1" s="103">
      <c r="E370" s="89">
        <f>IF($J370="","",+J370/2)</f>
        <v/>
      </c>
      <c r="F370" s="89">
        <f>IF($J370="","",+E370/2)</f>
        <v/>
      </c>
      <c r="G370" s="89">
        <f>IF($J370="","",+F370)</f>
        <v/>
      </c>
      <c r="H370" s="89" t="n"/>
      <c r="I370" s="89" t="n"/>
    </row>
    <row r="371" hidden="1" s="103">
      <c r="E371" s="89">
        <f>IF($J371="","",+J371/2)</f>
        <v/>
      </c>
      <c r="F371" s="89">
        <f>IF($J371="","",+E371/2)</f>
        <v/>
      </c>
      <c r="G371" s="89">
        <f>IF($J371="","",+F371)</f>
        <v/>
      </c>
      <c r="H371" s="89" t="n"/>
      <c r="I371" s="89" t="n"/>
    </row>
    <row r="372" hidden="1" s="103">
      <c r="E372" s="89">
        <f>IF($J372="","",+J372/2)</f>
        <v/>
      </c>
      <c r="F372" s="89">
        <f>IF($J372="","",+E372/2)</f>
        <v/>
      </c>
      <c r="G372" s="89">
        <f>IF($J372="","",+F372)</f>
        <v/>
      </c>
      <c r="H372" s="89" t="n"/>
      <c r="I372" s="89" t="n"/>
    </row>
    <row r="373" hidden="1" s="103">
      <c r="E373" s="89">
        <f>IF($J373="","",+J373/2)</f>
        <v/>
      </c>
      <c r="F373" s="89">
        <f>IF($J373="","",+E373/2)</f>
        <v/>
      </c>
      <c r="G373" s="89">
        <f>IF($J373="","",+F373)</f>
        <v/>
      </c>
      <c r="H373" s="89" t="n"/>
      <c r="I373" s="89" t="n"/>
    </row>
    <row r="374" hidden="1" s="103">
      <c r="E374" s="89">
        <f>IF($J374="","",+J374/2)</f>
        <v/>
      </c>
      <c r="F374" s="89">
        <f>IF($J374="","",+E374/2)</f>
        <v/>
      </c>
      <c r="G374" s="89">
        <f>IF($J374="","",+F374)</f>
        <v/>
      </c>
      <c r="H374" s="89" t="n"/>
      <c r="I374" s="89" t="n"/>
    </row>
    <row r="375" hidden="1" s="103">
      <c r="E375" s="89">
        <f>IF($J375="","",+J375/2)</f>
        <v/>
      </c>
      <c r="F375" s="89">
        <f>IF($J375="","",+E375/2)</f>
        <v/>
      </c>
      <c r="G375" s="89">
        <f>IF($J375="","",+F375)</f>
        <v/>
      </c>
      <c r="H375" s="89" t="n"/>
      <c r="I375" s="89" t="n"/>
    </row>
    <row r="376" hidden="1" s="103">
      <c r="E376" s="89">
        <f>IF($J376="","",+J376/2)</f>
        <v/>
      </c>
      <c r="F376" s="89">
        <f>IF($J376="","",+E376/2)</f>
        <v/>
      </c>
      <c r="G376" s="89">
        <f>IF($J376="","",+F376)</f>
        <v/>
      </c>
      <c r="H376" s="89" t="n"/>
      <c r="I376" s="89" t="n"/>
    </row>
    <row r="377" hidden="1" s="103">
      <c r="E377" s="89">
        <f>IF($J377="","",+J377/2)</f>
        <v/>
      </c>
      <c r="F377" s="89">
        <f>IF($J377="","",+E377/2)</f>
        <v/>
      </c>
      <c r="G377" s="89">
        <f>IF($J377="","",+F377)</f>
        <v/>
      </c>
      <c r="H377" s="89" t="n"/>
      <c r="I377" s="89" t="n"/>
    </row>
    <row r="378" hidden="1" s="103">
      <c r="E378" s="89">
        <f>IF($J378="","",+J378/2)</f>
        <v/>
      </c>
      <c r="F378" s="89">
        <f>IF($J378="","",+E378/2)</f>
        <v/>
      </c>
      <c r="G378" s="89">
        <f>IF($J378="","",+F378)</f>
        <v/>
      </c>
      <c r="H378" s="89" t="n"/>
      <c r="I378" s="89" t="n"/>
    </row>
    <row r="379" hidden="1" s="103">
      <c r="E379" s="89">
        <f>IF($J379="","",+J379/2)</f>
        <v/>
      </c>
      <c r="F379" s="89">
        <f>IF($J379="","",+E379/2)</f>
        <v/>
      </c>
      <c r="G379" s="89">
        <f>IF($J379="","",+F379)</f>
        <v/>
      </c>
      <c r="H379" s="89" t="n"/>
      <c r="I379" s="89" t="n"/>
    </row>
    <row r="380" hidden="1" s="103">
      <c r="E380" s="89">
        <f>IF($J380="","",+J380/2)</f>
        <v/>
      </c>
      <c r="F380" s="89">
        <f>IF($J380="","",+E380/2)</f>
        <v/>
      </c>
      <c r="G380" s="89">
        <f>IF($J380="","",+F380)</f>
        <v/>
      </c>
      <c r="H380" s="89" t="n"/>
      <c r="I380" s="89" t="n"/>
    </row>
    <row r="381" hidden="1" s="103">
      <c r="E381" s="89">
        <f>IF($J381="","",+J381/2)</f>
        <v/>
      </c>
      <c r="F381" s="89">
        <f>IF($J381="","",+E381/2)</f>
        <v/>
      </c>
      <c r="G381" s="89">
        <f>IF($J381="","",+F381)</f>
        <v/>
      </c>
      <c r="H381" s="89" t="n"/>
      <c r="I381" s="89" t="n"/>
    </row>
    <row r="382" hidden="1" s="103">
      <c r="E382" s="89">
        <f>IF($J382="","",+J382/2)</f>
        <v/>
      </c>
      <c r="F382" s="89">
        <f>IF($J382="","",+E382/2)</f>
        <v/>
      </c>
      <c r="G382" s="89">
        <f>IF($J382="","",+F382)</f>
        <v/>
      </c>
      <c r="H382" s="89" t="n"/>
      <c r="I382" s="89" t="n"/>
    </row>
    <row r="383" hidden="1" s="103">
      <c r="E383" s="89">
        <f>IF($J383="","",+J383/2)</f>
        <v/>
      </c>
      <c r="F383" s="89">
        <f>IF($J383="","",+E383/2)</f>
        <v/>
      </c>
      <c r="G383" s="89">
        <f>IF($J383="","",+F383)</f>
        <v/>
      </c>
      <c r="H383" s="89" t="n"/>
      <c r="I383" s="89" t="n"/>
    </row>
    <row r="384" hidden="1" s="103">
      <c r="E384" s="89">
        <f>IF($J384="","",+J384/2)</f>
        <v/>
      </c>
      <c r="F384" s="89">
        <f>IF($J384="","",+E384/2)</f>
        <v/>
      </c>
      <c r="G384" s="89">
        <f>IF($J384="","",+F384)</f>
        <v/>
      </c>
      <c r="H384" s="89" t="n"/>
      <c r="I384" s="89" t="n"/>
    </row>
    <row r="385" hidden="1" s="103">
      <c r="E385" s="89">
        <f>IF($J385="","",+J385/2)</f>
        <v/>
      </c>
      <c r="F385" s="89">
        <f>IF($J385="","",+E385/2)</f>
        <v/>
      </c>
      <c r="G385" s="89">
        <f>IF($J385="","",+F385)</f>
        <v/>
      </c>
      <c r="H385" s="89" t="n"/>
      <c r="I385" s="89" t="n"/>
    </row>
    <row r="386" hidden="1" s="103">
      <c r="E386" s="89">
        <f>IF($J386="","",+J386/2)</f>
        <v/>
      </c>
      <c r="F386" s="89">
        <f>IF($J386="","",+E386/2)</f>
        <v/>
      </c>
      <c r="G386" s="89">
        <f>IF($J386="","",+F386)</f>
        <v/>
      </c>
      <c r="H386" s="89" t="n"/>
      <c r="I386" s="89" t="n"/>
    </row>
    <row r="387" hidden="1" s="103">
      <c r="E387" s="89">
        <f>IF($J387="","",+J387/2)</f>
        <v/>
      </c>
      <c r="F387" s="89">
        <f>IF($J387="","",+E387/2)</f>
        <v/>
      </c>
      <c r="G387" s="89">
        <f>IF($J387="","",+F387)</f>
        <v/>
      </c>
      <c r="H387" s="89" t="n"/>
      <c r="I387" s="89" t="n"/>
    </row>
    <row r="388" hidden="1" s="103">
      <c r="E388" s="89">
        <f>IF($J388="","",+J388/2)</f>
        <v/>
      </c>
      <c r="F388" s="89">
        <f>IF($J388="","",+E388/2)</f>
        <v/>
      </c>
      <c r="G388" s="89">
        <f>IF($J388="","",+F388)</f>
        <v/>
      </c>
      <c r="H388" s="89" t="n"/>
      <c r="I388" s="89" t="n"/>
    </row>
    <row r="389" hidden="1" s="103">
      <c r="E389" s="89">
        <f>IF($J389="","",+J389/2)</f>
        <v/>
      </c>
      <c r="F389" s="89">
        <f>IF($J389="","",+E389/2)</f>
        <v/>
      </c>
      <c r="G389" s="89">
        <f>IF($J389="","",+F389)</f>
        <v/>
      </c>
      <c r="H389" s="89" t="n"/>
      <c r="I389" s="89" t="n"/>
    </row>
    <row r="390" hidden="1" s="103">
      <c r="E390" s="89">
        <f>IF($J390="","",+J390/2)</f>
        <v/>
      </c>
      <c r="F390" s="89">
        <f>IF($J390="","",+E390/2)</f>
        <v/>
      </c>
      <c r="G390" s="89">
        <f>IF($J390="","",+F390)</f>
        <v/>
      </c>
      <c r="H390" s="89" t="n"/>
      <c r="I390" s="89" t="n"/>
    </row>
    <row r="391" hidden="1" s="103">
      <c r="E391" s="89">
        <f>IF($J391="","",+J391/2)</f>
        <v/>
      </c>
      <c r="F391" s="89">
        <f>IF($J391="","",+E391/2)</f>
        <v/>
      </c>
      <c r="G391" s="89">
        <f>IF($J391="","",+F391)</f>
        <v/>
      </c>
      <c r="H391" s="89" t="n"/>
      <c r="I391" s="89" t="n"/>
    </row>
    <row r="392" hidden="1" s="103">
      <c r="E392" s="89">
        <f>IF($J392="","",+J392/2)</f>
        <v/>
      </c>
      <c r="F392" s="89">
        <f>IF($J392="","",+E392/2)</f>
        <v/>
      </c>
      <c r="G392" s="89">
        <f>IF($J392="","",+F392)</f>
        <v/>
      </c>
      <c r="H392" s="89" t="n"/>
      <c r="I392" s="89" t="n"/>
    </row>
    <row r="393" hidden="1" s="103">
      <c r="E393" s="89">
        <f>IF($J393="","",+J393/2)</f>
        <v/>
      </c>
      <c r="F393" s="89">
        <f>IF($J393="","",+E393/2)</f>
        <v/>
      </c>
      <c r="G393" s="89">
        <f>IF($J393="","",+F393)</f>
        <v/>
      </c>
      <c r="H393" s="89" t="n"/>
      <c r="I393" s="89" t="n"/>
    </row>
    <row r="394" hidden="1" s="103">
      <c r="E394" s="89">
        <f>IF($J394="","",+J394/2)</f>
        <v/>
      </c>
      <c r="F394" s="89">
        <f>IF($J394="","",+E394/2)</f>
        <v/>
      </c>
      <c r="G394" s="89">
        <f>IF($J394="","",+F394)</f>
        <v/>
      </c>
      <c r="H394" s="89" t="n"/>
      <c r="I394" s="89" t="n"/>
    </row>
    <row r="395" hidden="1" s="103">
      <c r="E395" s="89">
        <f>IF($J395="","",+J395/2)</f>
        <v/>
      </c>
      <c r="F395" s="89">
        <f>IF($J395="","",+E395/2)</f>
        <v/>
      </c>
      <c r="G395" s="89">
        <f>IF($J395="","",+F395)</f>
        <v/>
      </c>
      <c r="H395" s="89" t="n"/>
      <c r="I395" s="89" t="n"/>
    </row>
    <row r="396" hidden="1" s="103">
      <c r="E396" s="89">
        <f>IF($J396="","",+J396/2)</f>
        <v/>
      </c>
      <c r="F396" s="89">
        <f>IF($J396="","",+E396/2)</f>
        <v/>
      </c>
      <c r="G396" s="89">
        <f>IF($J396="","",+F396)</f>
        <v/>
      </c>
      <c r="H396" s="89" t="n"/>
      <c r="I396" s="89" t="n"/>
    </row>
    <row r="397" hidden="1" s="103">
      <c r="E397" s="89">
        <f>IF($J397="","",+J397/2)</f>
        <v/>
      </c>
      <c r="F397" s="89">
        <f>IF($J397="","",+E397/2)</f>
        <v/>
      </c>
      <c r="G397" s="89">
        <f>IF($J397="","",+F397)</f>
        <v/>
      </c>
      <c r="H397" s="89" t="n"/>
      <c r="I397" s="89" t="n"/>
    </row>
    <row r="398" hidden="1" s="103">
      <c r="E398" s="89">
        <f>IF($J398="","",+J398/2)</f>
        <v/>
      </c>
      <c r="F398" s="89">
        <f>IF($J398="","",+E398/2)</f>
        <v/>
      </c>
      <c r="G398" s="89">
        <f>IF($J398="","",+F398)</f>
        <v/>
      </c>
      <c r="H398" s="89" t="n"/>
      <c r="I398" s="89" t="n"/>
    </row>
    <row r="399" hidden="1" s="103">
      <c r="E399" s="89">
        <f>IF($J399="","",+J399/2)</f>
        <v/>
      </c>
      <c r="F399" s="89">
        <f>IF($J399="","",+E399/2)</f>
        <v/>
      </c>
      <c r="G399" s="89">
        <f>IF($J399="","",+F399)</f>
        <v/>
      </c>
      <c r="H399" s="89" t="n"/>
      <c r="I399" s="89" t="n"/>
    </row>
    <row r="400" hidden="1" s="103">
      <c r="E400" s="89">
        <f>IF($J400="","",+J400/2)</f>
        <v/>
      </c>
      <c r="F400" s="89">
        <f>IF($J400="","",+E400/2)</f>
        <v/>
      </c>
      <c r="G400" s="89">
        <f>IF($J400="","",+F400)</f>
        <v/>
      </c>
      <c r="H400" s="89" t="n"/>
      <c r="I400" s="89" t="n"/>
    </row>
    <row r="401" hidden="1" s="103">
      <c r="E401" s="89">
        <f>IF($J401="","",+J401/2)</f>
        <v/>
      </c>
      <c r="F401" s="89">
        <f>IF($J401="","",+E401/2)</f>
        <v/>
      </c>
      <c r="G401" s="89">
        <f>IF($J401="","",+F401)</f>
        <v/>
      </c>
      <c r="H401" s="89" t="n"/>
      <c r="I401" s="89" t="n"/>
    </row>
    <row r="402" hidden="1" s="103">
      <c r="E402" s="89">
        <f>IF($J402="","",+J402/2)</f>
        <v/>
      </c>
      <c r="F402" s="89">
        <f>IF($J402="","",+E402/2)</f>
        <v/>
      </c>
      <c r="G402" s="89">
        <f>IF($J402="","",+F402)</f>
        <v/>
      </c>
      <c r="H402" s="89" t="n"/>
      <c r="I402" s="89" t="n"/>
    </row>
    <row r="403" hidden="1" s="103">
      <c r="E403" s="89">
        <f>IF($J403="","",+J403/2)</f>
        <v/>
      </c>
      <c r="F403" s="89">
        <f>IF($J403="","",+E403/2)</f>
        <v/>
      </c>
      <c r="G403" s="89">
        <f>IF($J403="","",+F403)</f>
        <v/>
      </c>
      <c r="H403" s="89" t="n"/>
      <c r="I403" s="89" t="n"/>
    </row>
    <row r="404" hidden="1" s="103">
      <c r="E404" s="89">
        <f>IF($J404="","",+J404/2)</f>
        <v/>
      </c>
      <c r="F404" s="89">
        <f>IF($J404="","",+E404/2)</f>
        <v/>
      </c>
      <c r="G404" s="89">
        <f>IF($J404="","",+F404)</f>
        <v/>
      </c>
      <c r="H404" s="89" t="n"/>
      <c r="I404" s="89" t="n"/>
    </row>
    <row r="405" hidden="1" s="103">
      <c r="E405" s="89">
        <f>IF($J405="","",+J405/2)</f>
        <v/>
      </c>
      <c r="F405" s="89">
        <f>IF($J405="","",+E405/2)</f>
        <v/>
      </c>
      <c r="G405" s="89">
        <f>IF($J405="","",+F405)</f>
        <v/>
      </c>
      <c r="H405" s="89" t="n"/>
      <c r="I405" s="89" t="n"/>
    </row>
    <row r="406" hidden="1" s="103">
      <c r="E406" s="89">
        <f>IF($J406="","",+J406/2)</f>
        <v/>
      </c>
      <c r="F406" s="89">
        <f>IF($J406="","",+E406/2)</f>
        <v/>
      </c>
      <c r="G406" s="89">
        <f>IF($J406="","",+F406)</f>
        <v/>
      </c>
      <c r="H406" s="89" t="n"/>
      <c r="I406" s="89" t="n"/>
    </row>
    <row r="407" hidden="1" s="103">
      <c r="E407" s="89">
        <f>IF($J407="","",+J407/2)</f>
        <v/>
      </c>
      <c r="F407" s="89">
        <f>IF($J407="","",+E407/2)</f>
        <v/>
      </c>
      <c r="G407" s="89">
        <f>IF($J407="","",+F407)</f>
        <v/>
      </c>
      <c r="H407" s="89" t="n"/>
      <c r="I407" s="89" t="n"/>
    </row>
    <row r="408" hidden="1" s="103">
      <c r="E408" s="89">
        <f>IF($J408="","",+J408/2)</f>
        <v/>
      </c>
      <c r="F408" s="89">
        <f>IF($J408="","",+E408/2)</f>
        <v/>
      </c>
      <c r="G408" s="89">
        <f>IF($J408="","",+F408)</f>
        <v/>
      </c>
      <c r="H408" s="89" t="n"/>
      <c r="I408" s="89" t="n"/>
    </row>
    <row r="409" hidden="1" s="103">
      <c r="E409" s="89">
        <f>IF($J409="","",+J409/2)</f>
        <v/>
      </c>
      <c r="F409" s="89">
        <f>IF($J409="","",+E409/2)</f>
        <v/>
      </c>
      <c r="G409" s="89">
        <f>IF($J409="","",+F409)</f>
        <v/>
      </c>
      <c r="H409" s="89" t="n"/>
      <c r="I409" s="89" t="n"/>
    </row>
    <row r="410" hidden="1" s="103">
      <c r="E410" s="89">
        <f>IF($J410="","",+J410/2)</f>
        <v/>
      </c>
      <c r="F410" s="89">
        <f>IF($J410="","",+E410/2)</f>
        <v/>
      </c>
      <c r="G410" s="89">
        <f>IF($J410="","",+F410)</f>
        <v/>
      </c>
      <c r="H410" s="89" t="n"/>
      <c r="I410" s="89" t="n"/>
    </row>
    <row r="411" hidden="1" s="103">
      <c r="E411" s="89">
        <f>IF($J411="","",+J411/2)</f>
        <v/>
      </c>
      <c r="F411" s="89">
        <f>IF($J411="","",+E411/2)</f>
        <v/>
      </c>
      <c r="G411" s="89">
        <f>IF($J411="","",+F411)</f>
        <v/>
      </c>
      <c r="H411" s="89" t="n"/>
      <c r="I411" s="89" t="n"/>
    </row>
    <row r="412" hidden="1" s="103">
      <c r="E412" s="89">
        <f>IF($J412="","",+J412/2)</f>
        <v/>
      </c>
      <c r="F412" s="89">
        <f>IF($J412="","",+E412/2)</f>
        <v/>
      </c>
      <c r="G412" s="89">
        <f>IF($J412="","",+F412)</f>
        <v/>
      </c>
      <c r="H412" s="89" t="n"/>
      <c r="I412" s="89" t="n"/>
    </row>
    <row r="413" hidden="1" s="103">
      <c r="E413" s="89">
        <f>IF($J413="","",+J413/2)</f>
        <v/>
      </c>
      <c r="F413" s="89">
        <f>IF($J413="","",+E413/2)</f>
        <v/>
      </c>
      <c r="G413" s="89">
        <f>IF($J413="","",+F413)</f>
        <v/>
      </c>
      <c r="H413" s="89" t="n"/>
      <c r="I413" s="89" t="n"/>
    </row>
    <row r="414" hidden="1" s="103">
      <c r="E414" s="89">
        <f>IF($J414="","",+J414/2)</f>
        <v/>
      </c>
      <c r="F414" s="89">
        <f>IF($J414="","",+E414/2)</f>
        <v/>
      </c>
      <c r="G414" s="89">
        <f>IF($J414="","",+F414)</f>
        <v/>
      </c>
      <c r="H414" s="89" t="n"/>
      <c r="I414" s="89" t="n"/>
    </row>
    <row r="415" hidden="1" s="103">
      <c r="E415" s="89">
        <f>IF($J415="","",+J415/2)</f>
        <v/>
      </c>
      <c r="F415" s="89">
        <f>IF($J415="","",+E415/2)</f>
        <v/>
      </c>
      <c r="G415" s="89">
        <f>IF($J415="","",+F415)</f>
        <v/>
      </c>
      <c r="H415" s="89" t="n"/>
      <c r="I415" s="89" t="n"/>
    </row>
    <row r="416" hidden="1" s="103">
      <c r="E416" s="89">
        <f>IF($J416="","",+J416/2)</f>
        <v/>
      </c>
      <c r="F416" s="89">
        <f>IF($J416="","",+E416/2)</f>
        <v/>
      </c>
      <c r="G416" s="89">
        <f>IF($J416="","",+F416)</f>
        <v/>
      </c>
      <c r="H416" s="89" t="n"/>
      <c r="I416" s="89" t="n"/>
    </row>
    <row r="417" hidden="1" s="103">
      <c r="E417" s="89">
        <f>IF($J417="","",+J417/2)</f>
        <v/>
      </c>
      <c r="F417" s="89">
        <f>IF($J417="","",+E417/2)</f>
        <v/>
      </c>
      <c r="G417" s="89">
        <f>IF($J417="","",+F417)</f>
        <v/>
      </c>
      <c r="H417" s="89" t="n"/>
      <c r="I417" s="89" t="n"/>
    </row>
    <row r="418" hidden="1" s="103">
      <c r="E418" s="89">
        <f>IF($J418="","",+J418/2)</f>
        <v/>
      </c>
      <c r="F418" s="89">
        <f>IF($J418="","",+E418/2)</f>
        <v/>
      </c>
      <c r="G418" s="89">
        <f>IF($J418="","",+F418)</f>
        <v/>
      </c>
      <c r="H418" s="89" t="n"/>
      <c r="I418" s="89" t="n"/>
    </row>
    <row r="419" hidden="1" s="103">
      <c r="E419" s="89">
        <f>IF($J419="","",+J419/2)</f>
        <v/>
      </c>
      <c r="F419" s="89">
        <f>IF($J419="","",+E419/2)</f>
        <v/>
      </c>
      <c r="G419" s="89">
        <f>IF($J419="","",+F419)</f>
        <v/>
      </c>
      <c r="H419" s="89" t="n"/>
      <c r="I419" s="89" t="n"/>
    </row>
    <row r="420" hidden="1" s="103">
      <c r="E420" s="89">
        <f>IF($J420="","",+J420/2)</f>
        <v/>
      </c>
      <c r="F420" s="89">
        <f>IF($J420="","",+E420/2)</f>
        <v/>
      </c>
      <c r="G420" s="89">
        <f>IF($J420="","",+F420)</f>
        <v/>
      </c>
      <c r="H420" s="89" t="n"/>
      <c r="I420" s="89" t="n"/>
    </row>
    <row r="421" hidden="1" s="103">
      <c r="E421" s="89">
        <f>IF($J421="","",+J421/2)</f>
        <v/>
      </c>
      <c r="F421" s="89">
        <f>IF($J421="","",+E421/2)</f>
        <v/>
      </c>
      <c r="G421" s="89">
        <f>IF($J421="","",+F421)</f>
        <v/>
      </c>
      <c r="H421" s="89" t="n"/>
      <c r="I421" s="89" t="n"/>
    </row>
    <row r="422" hidden="1" s="103">
      <c r="E422" s="89">
        <f>IF($J422="","",+J422/2)</f>
        <v/>
      </c>
      <c r="F422" s="89">
        <f>IF($J422="","",+E422/2)</f>
        <v/>
      </c>
      <c r="G422" s="89">
        <f>IF($J422="","",+F422)</f>
        <v/>
      </c>
      <c r="H422" s="89" t="n"/>
      <c r="I422" s="89" t="n"/>
    </row>
    <row r="423" hidden="1" s="103">
      <c r="E423" s="89">
        <f>IF($J423="","",+J423/2)</f>
        <v/>
      </c>
      <c r="F423" s="89">
        <f>IF($J423="","",+E423/2)</f>
        <v/>
      </c>
      <c r="G423" s="89">
        <f>IF($J423="","",+F423)</f>
        <v/>
      </c>
      <c r="H423" s="89" t="n"/>
      <c r="I423" s="89" t="n"/>
    </row>
    <row r="424" hidden="1" s="103">
      <c r="E424" s="89">
        <f>IF($J424="","",+J424/2)</f>
        <v/>
      </c>
      <c r="F424" s="89">
        <f>IF($J424="","",+E424/2)</f>
        <v/>
      </c>
      <c r="G424" s="89">
        <f>IF($J424="","",+F424)</f>
        <v/>
      </c>
      <c r="H424" s="89" t="n"/>
      <c r="I424" s="89" t="n"/>
    </row>
    <row r="425" hidden="1" s="103">
      <c r="E425" s="89">
        <f>IF($J425="","",+J425/2)</f>
        <v/>
      </c>
      <c r="F425" s="89">
        <f>IF($J425="","",+E425/2)</f>
        <v/>
      </c>
      <c r="G425" s="89">
        <f>IF($J425="","",+F425)</f>
        <v/>
      </c>
      <c r="H425" s="89" t="n"/>
      <c r="I425" s="89" t="n"/>
    </row>
    <row r="426" hidden="1" s="103">
      <c r="E426" s="89">
        <f>IF($J426="","",+J426/2)</f>
        <v/>
      </c>
      <c r="F426" s="89">
        <f>IF($J426="","",+E426/2)</f>
        <v/>
      </c>
      <c r="G426" s="89">
        <f>IF($J426="","",+F426)</f>
        <v/>
      </c>
      <c r="H426" s="89" t="n"/>
      <c r="I426" s="89" t="n"/>
    </row>
    <row r="427" hidden="1" s="103">
      <c r="E427" s="89">
        <f>IF($J427="","",+J427/2)</f>
        <v/>
      </c>
      <c r="F427" s="89">
        <f>IF($J427="","",+E427/2)</f>
        <v/>
      </c>
      <c r="G427" s="89">
        <f>IF($J427="","",+F427)</f>
        <v/>
      </c>
      <c r="H427" s="89" t="n"/>
      <c r="I427" s="89" t="n"/>
    </row>
    <row r="428" hidden="1" s="103">
      <c r="E428" s="89">
        <f>IF($J428="","",+J428/2)</f>
        <v/>
      </c>
      <c r="F428" s="89">
        <f>IF($J428="","",+E428/2)</f>
        <v/>
      </c>
      <c r="G428" s="89">
        <f>IF($J428="","",+F428)</f>
        <v/>
      </c>
      <c r="H428" s="89" t="n"/>
      <c r="I428" s="89" t="n"/>
    </row>
    <row r="429" hidden="1" s="103">
      <c r="E429" s="89">
        <f>IF($J429="","",+J429/2)</f>
        <v/>
      </c>
      <c r="F429" s="89">
        <f>IF($J429="","",+E429/2)</f>
        <v/>
      </c>
      <c r="G429" s="89">
        <f>IF($J429="","",+F429)</f>
        <v/>
      </c>
      <c r="H429" s="89" t="n"/>
      <c r="I429" s="89" t="n"/>
    </row>
    <row r="430" hidden="1" s="103">
      <c r="E430" s="89">
        <f>IF($J430="","",+J430/2)</f>
        <v/>
      </c>
      <c r="F430" s="89">
        <f>IF($J430="","",+E430/2)</f>
        <v/>
      </c>
      <c r="G430" s="89">
        <f>IF($J430="","",+F430)</f>
        <v/>
      </c>
      <c r="H430" s="89" t="n"/>
      <c r="I430" s="89" t="n"/>
    </row>
    <row r="431" hidden="1" s="103">
      <c r="E431" s="89">
        <f>IF($J431="","",+J431/2)</f>
        <v/>
      </c>
      <c r="F431" s="89">
        <f>IF($J431="","",+E431/2)</f>
        <v/>
      </c>
      <c r="G431" s="89">
        <f>IF($J431="","",+F431)</f>
        <v/>
      </c>
      <c r="H431" s="89" t="n"/>
      <c r="I431" s="89" t="n"/>
    </row>
    <row r="432" hidden="1" s="103">
      <c r="E432" s="89">
        <f>IF($J432="","",+J432/2)</f>
        <v/>
      </c>
      <c r="F432" s="89">
        <f>IF($J432="","",+E432/2)</f>
        <v/>
      </c>
      <c r="G432" s="89">
        <f>IF($J432="","",+F432)</f>
        <v/>
      </c>
      <c r="H432" s="89" t="n"/>
      <c r="I432" s="89" t="n"/>
    </row>
    <row r="433" hidden="1" s="103">
      <c r="E433" s="89">
        <f>IF($J433="","",+J433/2)</f>
        <v/>
      </c>
      <c r="F433" s="89">
        <f>IF($J433="","",+E433/2)</f>
        <v/>
      </c>
      <c r="G433" s="89">
        <f>IF($J433="","",+F433)</f>
        <v/>
      </c>
      <c r="H433" s="89" t="n"/>
      <c r="I433" s="89" t="n"/>
    </row>
    <row r="434" hidden="1" s="103">
      <c r="E434" s="89">
        <f>IF($J434="","",+J434/2)</f>
        <v/>
      </c>
      <c r="F434" s="89">
        <f>IF($J434="","",+E434/2)</f>
        <v/>
      </c>
      <c r="G434" s="89">
        <f>IF($J434="","",+F434)</f>
        <v/>
      </c>
      <c r="H434" s="89" t="n"/>
      <c r="I434" s="89" t="n"/>
    </row>
    <row r="435" hidden="1" s="103">
      <c r="E435" s="89">
        <f>IF($J435="","",+J435/2)</f>
        <v/>
      </c>
      <c r="F435" s="89">
        <f>IF($J435="","",+E435/2)</f>
        <v/>
      </c>
      <c r="G435" s="89">
        <f>IF($J435="","",+F435)</f>
        <v/>
      </c>
      <c r="H435" s="89" t="n"/>
      <c r="I435" s="89" t="n"/>
    </row>
    <row r="436" hidden="1" s="103">
      <c r="E436" s="89">
        <f>IF($J436="","",+J436/2)</f>
        <v/>
      </c>
      <c r="F436" s="89">
        <f>IF($J436="","",+E436/2)</f>
        <v/>
      </c>
      <c r="G436" s="89">
        <f>IF($J436="","",+F436)</f>
        <v/>
      </c>
      <c r="H436" s="89" t="n"/>
      <c r="I436" s="89" t="n"/>
    </row>
    <row r="437" hidden="1" s="103">
      <c r="E437" s="89">
        <f>IF($J437="","",+J437/2)</f>
        <v/>
      </c>
      <c r="F437" s="89">
        <f>IF($J437="","",+E437/2)</f>
        <v/>
      </c>
      <c r="G437" s="89">
        <f>IF($J437="","",+F437)</f>
        <v/>
      </c>
      <c r="H437" s="89" t="n"/>
      <c r="I437" s="89" t="n"/>
    </row>
    <row r="438" hidden="1" s="103">
      <c r="E438" s="89">
        <f>IF($J438="","",+J438/2)</f>
        <v/>
      </c>
      <c r="F438" s="89">
        <f>IF($J438="","",+E438/2)</f>
        <v/>
      </c>
      <c r="G438" s="89">
        <f>IF($J438="","",+F438)</f>
        <v/>
      </c>
      <c r="H438" s="89" t="n"/>
      <c r="I438" s="89" t="n"/>
    </row>
    <row r="439" hidden="1" s="103">
      <c r="E439" s="89">
        <f>IF($J439="","",+J439/2)</f>
        <v/>
      </c>
      <c r="F439" s="89">
        <f>IF($J439="","",+E439/2)</f>
        <v/>
      </c>
      <c r="G439" s="89">
        <f>IF($J439="","",+F439)</f>
        <v/>
      </c>
      <c r="H439" s="89" t="n"/>
      <c r="I439" s="89" t="n"/>
    </row>
    <row r="440" hidden="1" s="103">
      <c r="E440" s="89">
        <f>IF($J440="","",+J440/2)</f>
        <v/>
      </c>
      <c r="F440" s="89">
        <f>IF($J440="","",+E440/2)</f>
        <v/>
      </c>
      <c r="G440" s="89">
        <f>IF($J440="","",+F440)</f>
        <v/>
      </c>
      <c r="H440" s="89" t="n"/>
      <c r="I440" s="89" t="n"/>
    </row>
    <row r="441" hidden="1" s="103">
      <c r="E441" s="89">
        <f>IF($J441="","",+J441/2)</f>
        <v/>
      </c>
      <c r="F441" s="89">
        <f>IF($J441="","",+E441/2)</f>
        <v/>
      </c>
      <c r="G441" s="89">
        <f>IF($J441="","",+F441)</f>
        <v/>
      </c>
      <c r="H441" s="89" t="n"/>
      <c r="I441" s="89" t="n"/>
    </row>
    <row r="442" hidden="1" s="103">
      <c r="E442" s="89">
        <f>IF($J442="","",+J442/2)</f>
        <v/>
      </c>
      <c r="F442" s="89">
        <f>IF($J442="","",+E442/2)</f>
        <v/>
      </c>
      <c r="G442" s="89">
        <f>IF($J442="","",+F442)</f>
        <v/>
      </c>
      <c r="H442" s="89" t="n"/>
      <c r="I442" s="89" t="n"/>
    </row>
    <row r="443" hidden="1" s="103">
      <c r="E443" s="89">
        <f>IF($J443="","",+J443/2)</f>
        <v/>
      </c>
      <c r="F443" s="89">
        <f>IF($J443="","",+E443/2)</f>
        <v/>
      </c>
      <c r="G443" s="89">
        <f>IF($J443="","",+F443)</f>
        <v/>
      </c>
      <c r="H443" s="89" t="n"/>
      <c r="I443" s="89" t="n"/>
    </row>
    <row r="444" hidden="1" s="103">
      <c r="E444" s="89">
        <f>IF($J444="","",+J444/2)</f>
        <v/>
      </c>
      <c r="F444" s="89">
        <f>IF($J444="","",+E444/2)</f>
        <v/>
      </c>
      <c r="G444" s="89">
        <f>IF($J444="","",+F444)</f>
        <v/>
      </c>
      <c r="H444" s="89" t="n"/>
      <c r="I444" s="89" t="n"/>
    </row>
    <row r="445" hidden="1" s="103">
      <c r="E445" s="89">
        <f>IF($J445="","",+J445/2)</f>
        <v/>
      </c>
      <c r="F445" s="89">
        <f>IF($J445="","",+E445/2)</f>
        <v/>
      </c>
      <c r="G445" s="89">
        <f>IF($J445="","",+F445)</f>
        <v/>
      </c>
      <c r="H445" s="89" t="n"/>
      <c r="I445" s="89" t="n"/>
    </row>
    <row r="446" hidden="1" s="103">
      <c r="E446" s="89">
        <f>IF($J446="","",+J446/2)</f>
        <v/>
      </c>
      <c r="F446" s="89">
        <f>IF($J446="","",+E446/2)</f>
        <v/>
      </c>
      <c r="G446" s="89">
        <f>IF($J446="","",+F446)</f>
        <v/>
      </c>
      <c r="H446" s="89" t="n"/>
      <c r="I446" s="89" t="n"/>
    </row>
    <row r="447" hidden="1" s="103">
      <c r="E447" s="89">
        <f>IF($J447="","",+J447/2)</f>
        <v/>
      </c>
      <c r="F447" s="89">
        <f>IF($J447="","",+E447/2)</f>
        <v/>
      </c>
      <c r="G447" s="89">
        <f>IF($J447="","",+F447)</f>
        <v/>
      </c>
      <c r="H447" s="89" t="n"/>
      <c r="I447" s="89" t="n"/>
    </row>
    <row r="448" hidden="1" s="103">
      <c r="E448" s="89">
        <f>IF($J448="","",+J448/2)</f>
        <v/>
      </c>
      <c r="F448" s="89">
        <f>IF($J448="","",+E448/2)</f>
        <v/>
      </c>
      <c r="G448" s="89">
        <f>IF($J448="","",+F448)</f>
        <v/>
      </c>
      <c r="H448" s="89" t="n"/>
      <c r="I448" s="89" t="n"/>
    </row>
    <row r="449" hidden="1" s="103">
      <c r="E449" s="89">
        <f>IF($J449="","",+J449/2)</f>
        <v/>
      </c>
      <c r="F449" s="89">
        <f>IF($J449="","",+E449/2)</f>
        <v/>
      </c>
      <c r="G449" s="89">
        <f>IF($J449="","",+F449)</f>
        <v/>
      </c>
      <c r="H449" s="89" t="n"/>
      <c r="I449" s="89" t="n"/>
    </row>
    <row r="450" hidden="1" s="103">
      <c r="E450" s="89">
        <f>IF($J450="","",+J450/2)</f>
        <v/>
      </c>
      <c r="F450" s="89">
        <f>IF($J450="","",+E450/2)</f>
        <v/>
      </c>
      <c r="G450" s="89">
        <f>IF($J450="","",+F450)</f>
        <v/>
      </c>
      <c r="H450" s="89" t="n"/>
      <c r="I450" s="89" t="n"/>
    </row>
    <row r="451" hidden="1" s="103">
      <c r="E451" s="89">
        <f>IF($J451="","",+J451/2)</f>
        <v/>
      </c>
      <c r="F451" s="89">
        <f>IF($J451="","",+E451/2)</f>
        <v/>
      </c>
      <c r="G451" s="89">
        <f>IF($J451="","",+F451)</f>
        <v/>
      </c>
      <c r="H451" s="89" t="n"/>
      <c r="I451" s="89" t="n"/>
    </row>
    <row r="452" hidden="1" s="103">
      <c r="E452" s="89">
        <f>IF($J452="","",+J452/2)</f>
        <v/>
      </c>
      <c r="F452" s="89">
        <f>IF($J452="","",+E452/2)</f>
        <v/>
      </c>
      <c r="G452" s="89">
        <f>IF($J452="","",+F452)</f>
        <v/>
      </c>
      <c r="H452" s="89" t="n"/>
      <c r="I452" s="89" t="n"/>
    </row>
    <row r="453" hidden="1" s="103">
      <c r="E453" s="89">
        <f>IF($J453="","",+J453/2)</f>
        <v/>
      </c>
      <c r="F453" s="89">
        <f>IF($J453="","",+E453/2)</f>
        <v/>
      </c>
      <c r="G453" s="89">
        <f>IF($J453="","",+F453)</f>
        <v/>
      </c>
      <c r="H453" s="89" t="n"/>
      <c r="I453" s="89" t="n"/>
    </row>
    <row r="454" hidden="1" s="103">
      <c r="E454" s="89">
        <f>IF($J454="","",+J454/2)</f>
        <v/>
      </c>
      <c r="F454" s="89">
        <f>IF($J454="","",+E454/2)</f>
        <v/>
      </c>
      <c r="G454" s="89">
        <f>IF($J454="","",+F454)</f>
        <v/>
      </c>
      <c r="H454" s="89" t="n"/>
      <c r="I454" s="89" t="n"/>
    </row>
    <row r="455" hidden="1" s="103">
      <c r="E455" s="89">
        <f>IF($J455="","",+J455/2)</f>
        <v/>
      </c>
      <c r="F455" s="89">
        <f>IF($J455="","",+E455/2)</f>
        <v/>
      </c>
      <c r="G455" s="89">
        <f>IF($J455="","",+F455)</f>
        <v/>
      </c>
      <c r="H455" s="89" t="n"/>
      <c r="I455" s="89" t="n"/>
    </row>
    <row r="456" hidden="1" s="103">
      <c r="E456" s="89">
        <f>IF($J456="","",+J456/2)</f>
        <v/>
      </c>
      <c r="F456" s="89">
        <f>IF($J456="","",+E456/2)</f>
        <v/>
      </c>
      <c r="G456" s="89">
        <f>IF($J456="","",+F456)</f>
        <v/>
      </c>
      <c r="H456" s="89" t="n"/>
      <c r="I456" s="89" t="n"/>
    </row>
    <row r="457" hidden="1" s="103">
      <c r="E457" s="89">
        <f>IF($J457="","",+J457/2)</f>
        <v/>
      </c>
      <c r="F457" s="89">
        <f>IF($J457="","",+E457/2)</f>
        <v/>
      </c>
      <c r="G457" s="89">
        <f>IF($J457="","",+F457)</f>
        <v/>
      </c>
      <c r="H457" s="89" t="n"/>
      <c r="I457" s="89" t="n"/>
    </row>
    <row r="458" hidden="1" s="103">
      <c r="E458" s="89">
        <f>IF($J458="","",+J458/2)</f>
        <v/>
      </c>
      <c r="F458" s="89">
        <f>IF($J458="","",+E458/2)</f>
        <v/>
      </c>
      <c r="G458" s="89">
        <f>IF($J458="","",+F458)</f>
        <v/>
      </c>
      <c r="H458" s="89" t="n"/>
      <c r="I458" s="89" t="n"/>
    </row>
    <row r="459" hidden="1" s="103">
      <c r="E459" s="89">
        <f>IF($J459="","",+J459/2)</f>
        <v/>
      </c>
      <c r="F459" s="89">
        <f>IF($J459="","",+E459/2)</f>
        <v/>
      </c>
      <c r="G459" s="89">
        <f>IF($J459="","",+F459)</f>
        <v/>
      </c>
      <c r="H459" s="89" t="n"/>
      <c r="I459" s="89" t="n"/>
    </row>
    <row r="460" hidden="1" s="103">
      <c r="E460" s="89">
        <f>IF($J460="","",+J460/2)</f>
        <v/>
      </c>
      <c r="F460" s="89">
        <f>IF($J460="","",+E460/2)</f>
        <v/>
      </c>
      <c r="G460" s="89">
        <f>IF($J460="","",+F460)</f>
        <v/>
      </c>
      <c r="H460" s="89" t="n"/>
      <c r="I460" s="89" t="n"/>
    </row>
    <row r="461" hidden="1" s="103">
      <c r="E461" s="89">
        <f>IF($J461="","",+J461/2)</f>
        <v/>
      </c>
      <c r="F461" s="89">
        <f>IF($J461="","",+E461/2)</f>
        <v/>
      </c>
      <c r="G461" s="89">
        <f>IF($J461="","",+F461)</f>
        <v/>
      </c>
      <c r="H461" s="89" t="n"/>
      <c r="I461" s="89" t="n"/>
    </row>
    <row r="462" hidden="1" s="103">
      <c r="E462" s="89">
        <f>IF($J462="","",+J462/2)</f>
        <v/>
      </c>
      <c r="F462" s="89">
        <f>IF($J462="","",+E462/2)</f>
        <v/>
      </c>
      <c r="G462" s="89">
        <f>IF($J462="","",+F462)</f>
        <v/>
      </c>
      <c r="H462" s="89" t="n"/>
      <c r="I462" s="89" t="n"/>
    </row>
    <row r="463" hidden="1" s="103">
      <c r="E463" s="89">
        <f>IF($J463="","",+J463/2)</f>
        <v/>
      </c>
      <c r="F463" s="89">
        <f>IF($J463="","",+E463/2)</f>
        <v/>
      </c>
      <c r="G463" s="89">
        <f>IF($J463="","",+F463)</f>
        <v/>
      </c>
      <c r="H463" s="89" t="n"/>
      <c r="I463" s="89" t="n"/>
    </row>
    <row r="464" hidden="1" s="103">
      <c r="E464" s="89">
        <f>IF($J464="","",+J464/2)</f>
        <v/>
      </c>
      <c r="F464" s="89">
        <f>IF($J464="","",+E464/2)</f>
        <v/>
      </c>
      <c r="G464" s="89">
        <f>IF($J464="","",+F464)</f>
        <v/>
      </c>
      <c r="H464" s="89" t="n"/>
      <c r="I464" s="89" t="n"/>
    </row>
    <row r="465" hidden="1" s="103">
      <c r="E465" s="89">
        <f>IF($J465="","",+J465/2)</f>
        <v/>
      </c>
      <c r="F465" s="89">
        <f>IF($J465="","",+E465/2)</f>
        <v/>
      </c>
      <c r="G465" s="89">
        <f>IF($J465="","",+F465)</f>
        <v/>
      </c>
      <c r="H465" s="89" t="n"/>
      <c r="I465" s="89" t="n"/>
    </row>
    <row r="466" hidden="1" s="103">
      <c r="E466" s="89">
        <f>IF($J466="","",+J466/2)</f>
        <v/>
      </c>
      <c r="F466" s="89">
        <f>IF($J466="","",+E466/2)</f>
        <v/>
      </c>
      <c r="G466" s="89">
        <f>IF($J466="","",+F466)</f>
        <v/>
      </c>
      <c r="H466" s="89" t="n"/>
      <c r="I466" s="89" t="n"/>
    </row>
    <row r="467" hidden="1" s="103">
      <c r="E467" s="89">
        <f>IF($J467="","",+J467/2)</f>
        <v/>
      </c>
      <c r="F467" s="89">
        <f>IF($J467="","",+E467/2)</f>
        <v/>
      </c>
      <c r="G467" s="89">
        <f>IF($J467="","",+F467)</f>
        <v/>
      </c>
      <c r="H467" s="89" t="n"/>
      <c r="I467" s="89" t="n"/>
    </row>
    <row r="468" hidden="1" s="103">
      <c r="E468" s="89">
        <f>IF($J468="","",+J468/2)</f>
        <v/>
      </c>
      <c r="F468" s="89">
        <f>IF($J468="","",+E468/2)</f>
        <v/>
      </c>
      <c r="G468" s="89">
        <f>IF($J468="","",+F468)</f>
        <v/>
      </c>
      <c r="H468" s="89" t="n"/>
      <c r="I468" s="89" t="n"/>
    </row>
    <row r="469" hidden="1" s="103">
      <c r="E469" s="89">
        <f>IF($J469="","",+J469/2)</f>
        <v/>
      </c>
      <c r="F469" s="89">
        <f>IF($J469="","",+E469/2)</f>
        <v/>
      </c>
      <c r="G469" s="89">
        <f>IF($J469="","",+F469)</f>
        <v/>
      </c>
      <c r="H469" s="89" t="n"/>
      <c r="I469" s="89" t="n"/>
    </row>
    <row r="470" hidden="1" s="103">
      <c r="E470" s="89">
        <f>IF($J470="","",+J470/2)</f>
        <v/>
      </c>
      <c r="F470" s="89">
        <f>IF($J470="","",+E470/2)</f>
        <v/>
      </c>
      <c r="G470" s="89">
        <f>IF($J470="","",+F470)</f>
        <v/>
      </c>
      <c r="H470" s="89" t="n"/>
      <c r="I470" s="89" t="n"/>
    </row>
    <row r="471" hidden="1" s="103">
      <c r="E471" s="89">
        <f>IF($J471="","",+J471/2)</f>
        <v/>
      </c>
      <c r="F471" s="89">
        <f>IF($J471="","",+E471/2)</f>
        <v/>
      </c>
      <c r="G471" s="89">
        <f>IF($J471="","",+F471)</f>
        <v/>
      </c>
      <c r="H471" s="89" t="n"/>
      <c r="I471" s="89" t="n"/>
    </row>
    <row r="472" hidden="1" s="103">
      <c r="E472" s="89">
        <f>IF($J472="","",+J472/2)</f>
        <v/>
      </c>
      <c r="F472" s="89">
        <f>IF($J472="","",+E472/2)</f>
        <v/>
      </c>
      <c r="G472" s="89">
        <f>IF($J472="","",+F472)</f>
        <v/>
      </c>
      <c r="H472" s="89" t="n"/>
      <c r="I472" s="89" t="n"/>
    </row>
    <row r="473" hidden="1" s="103">
      <c r="E473" s="89">
        <f>IF($J473="","",+J473/2)</f>
        <v/>
      </c>
      <c r="F473" s="89">
        <f>IF($J473="","",+E473/2)</f>
        <v/>
      </c>
      <c r="G473" s="89">
        <f>IF($J473="","",+F473)</f>
        <v/>
      </c>
      <c r="H473" s="89" t="n"/>
      <c r="I473" s="89" t="n"/>
    </row>
    <row r="474" hidden="1" s="103">
      <c r="E474" s="89">
        <f>IF($J474="","",+J474/2)</f>
        <v/>
      </c>
      <c r="F474" s="89">
        <f>IF($J474="","",+E474/2)</f>
        <v/>
      </c>
      <c r="G474" s="89">
        <f>IF($J474="","",+F474)</f>
        <v/>
      </c>
      <c r="H474" s="89" t="n"/>
      <c r="I474" s="89" t="n"/>
    </row>
    <row r="475" hidden="1" s="103">
      <c r="E475" s="89">
        <f>IF($J475="","",+J475/2)</f>
        <v/>
      </c>
      <c r="F475" s="89">
        <f>IF($J475="","",+E475/2)</f>
        <v/>
      </c>
      <c r="G475" s="89">
        <f>IF($J475="","",+F475)</f>
        <v/>
      </c>
      <c r="H475" s="89" t="n"/>
      <c r="I475" s="89" t="n"/>
    </row>
    <row r="476" hidden="1" s="103">
      <c r="E476" s="89">
        <f>IF($J476="","",+J476/2)</f>
        <v/>
      </c>
      <c r="F476" s="89">
        <f>IF($J476="","",+E476/2)</f>
        <v/>
      </c>
      <c r="G476" s="89">
        <f>IF($J476="","",+F476)</f>
        <v/>
      </c>
      <c r="H476" s="89" t="n"/>
      <c r="I476" s="89" t="n"/>
    </row>
    <row r="477" hidden="1" s="103">
      <c r="E477" s="89">
        <f>IF($J477="","",+J477/2)</f>
        <v/>
      </c>
      <c r="F477" s="89">
        <f>IF($J477="","",+E477/2)</f>
        <v/>
      </c>
      <c r="G477" s="89">
        <f>IF($J477="","",+F477)</f>
        <v/>
      </c>
      <c r="H477" s="89" t="n"/>
      <c r="I477" s="89" t="n"/>
    </row>
    <row r="478" hidden="1" s="103">
      <c r="E478" s="89">
        <f>IF($J478="","",+J478/2)</f>
        <v/>
      </c>
      <c r="F478" s="89">
        <f>IF($J478="","",+E478/2)</f>
        <v/>
      </c>
      <c r="G478" s="89">
        <f>IF($J478="","",+F478)</f>
        <v/>
      </c>
      <c r="H478" s="89" t="n"/>
      <c r="I478" s="89" t="n"/>
    </row>
    <row r="479" hidden="1" s="103">
      <c r="E479" s="89">
        <f>IF($J479="","",+J479/2)</f>
        <v/>
      </c>
      <c r="F479" s="89">
        <f>IF($J479="","",+E479/2)</f>
        <v/>
      </c>
      <c r="G479" s="89">
        <f>IF($J479="","",+F479)</f>
        <v/>
      </c>
      <c r="H479" s="89" t="n"/>
      <c r="I479" s="89" t="n"/>
    </row>
    <row r="480" hidden="1" s="103">
      <c r="E480" s="89">
        <f>IF($J480="","",+J480/2)</f>
        <v/>
      </c>
      <c r="F480" s="89">
        <f>IF($J480="","",+E480/2)</f>
        <v/>
      </c>
      <c r="G480" s="89">
        <f>IF($J480="","",+F480)</f>
        <v/>
      </c>
      <c r="H480" s="89" t="n"/>
      <c r="I480" s="89" t="n"/>
    </row>
    <row r="481" hidden="1" s="103">
      <c r="E481" s="89">
        <f>IF($J481="","",+J481/2)</f>
        <v/>
      </c>
      <c r="F481" s="89">
        <f>IF($J481="","",+E481/2)</f>
        <v/>
      </c>
      <c r="G481" s="89">
        <f>IF($J481="","",+F481)</f>
        <v/>
      </c>
      <c r="H481" s="89" t="n"/>
      <c r="I481" s="89" t="n"/>
    </row>
    <row r="482" hidden="1" s="103">
      <c r="E482" s="89">
        <f>IF($J482="","",+J482/2)</f>
        <v/>
      </c>
      <c r="F482" s="89">
        <f>IF($J482="","",+E482/2)</f>
        <v/>
      </c>
      <c r="G482" s="89">
        <f>IF($J482="","",+F482)</f>
        <v/>
      </c>
      <c r="H482" s="89" t="n"/>
      <c r="I482" s="89" t="n"/>
    </row>
    <row r="483" hidden="1" s="103">
      <c r="E483" s="89">
        <f>IF($J483="","",+J483/2)</f>
        <v/>
      </c>
      <c r="F483" s="89">
        <f>IF($J483="","",+E483/2)</f>
        <v/>
      </c>
      <c r="G483" s="89">
        <f>IF($J483="","",+F483)</f>
        <v/>
      </c>
      <c r="H483" s="89" t="n"/>
      <c r="I483" s="89" t="n"/>
    </row>
    <row r="484" hidden="1" s="103">
      <c r="E484" s="89">
        <f>IF($J484="","",+J484/2)</f>
        <v/>
      </c>
      <c r="F484" s="89">
        <f>IF($J484="","",+E484/2)</f>
        <v/>
      </c>
      <c r="G484" s="89">
        <f>IF($J484="","",+F484)</f>
        <v/>
      </c>
      <c r="H484" s="89" t="n"/>
      <c r="I484" s="89" t="n"/>
    </row>
    <row r="485" hidden="1" s="103">
      <c r="E485" s="89">
        <f>IF($J485="","",+J485/2)</f>
        <v/>
      </c>
      <c r="F485" s="89">
        <f>IF($J485="","",+E485/2)</f>
        <v/>
      </c>
      <c r="G485" s="89">
        <f>IF($J485="","",+F485)</f>
        <v/>
      </c>
      <c r="H485" s="89" t="n"/>
      <c r="I485" s="89" t="n"/>
    </row>
    <row r="486" hidden="1" s="103">
      <c r="E486" s="89">
        <f>IF($J486="","",+J486/2)</f>
        <v/>
      </c>
      <c r="F486" s="89">
        <f>IF($J486="","",+E486/2)</f>
        <v/>
      </c>
      <c r="G486" s="89">
        <f>IF($J486="","",+F486)</f>
        <v/>
      </c>
      <c r="H486" s="89" t="n"/>
      <c r="I486" s="89" t="n"/>
    </row>
    <row r="487" hidden="1" s="103">
      <c r="E487" s="89">
        <f>IF($J487="","",+J487/2)</f>
        <v/>
      </c>
      <c r="F487" s="89">
        <f>IF($J487="","",+E487/2)</f>
        <v/>
      </c>
      <c r="G487" s="89">
        <f>IF($J487="","",+F487)</f>
        <v/>
      </c>
      <c r="H487" s="89" t="n"/>
      <c r="I487" s="89" t="n"/>
    </row>
    <row r="488" hidden="1" s="103">
      <c r="E488" s="89">
        <f>IF($J488="","",+J488/2)</f>
        <v/>
      </c>
      <c r="F488" s="89">
        <f>IF($J488="","",+E488/2)</f>
        <v/>
      </c>
      <c r="G488" s="89">
        <f>IF($J488="","",+F488)</f>
        <v/>
      </c>
      <c r="H488" s="89" t="n"/>
      <c r="I488" s="89" t="n"/>
    </row>
    <row r="489" hidden="1" s="103">
      <c r="E489" s="89">
        <f>IF($J489="","",+J489/2)</f>
        <v/>
      </c>
      <c r="F489" s="89">
        <f>IF($J489="","",+E489/2)</f>
        <v/>
      </c>
      <c r="G489" s="89">
        <f>IF($J489="","",+F489)</f>
        <v/>
      </c>
      <c r="H489" s="89" t="n"/>
      <c r="I489" s="89" t="n"/>
    </row>
    <row r="490" hidden="1" s="103">
      <c r="E490" s="89">
        <f>IF($J490="","",+J490/2)</f>
        <v/>
      </c>
      <c r="F490" s="89">
        <f>IF($J490="","",+E490/2)</f>
        <v/>
      </c>
      <c r="G490" s="89">
        <f>IF($J490="","",+F490)</f>
        <v/>
      </c>
      <c r="H490" s="89" t="n"/>
      <c r="I490" s="89" t="n"/>
    </row>
    <row r="491" hidden="1" s="103">
      <c r="E491" s="89">
        <f>IF($J491="","",+J491/2)</f>
        <v/>
      </c>
      <c r="F491" s="89">
        <f>IF($J491="","",+E491/2)</f>
        <v/>
      </c>
      <c r="G491" s="89">
        <f>IF($J491="","",+F491)</f>
        <v/>
      </c>
      <c r="H491" s="89" t="n"/>
      <c r="I491" s="89" t="n"/>
    </row>
    <row r="492" hidden="1" s="103">
      <c r="E492" s="89">
        <f>IF($J492="","",+J492/2)</f>
        <v/>
      </c>
      <c r="F492" s="89">
        <f>IF($J492="","",+E492/2)</f>
        <v/>
      </c>
      <c r="G492" s="89">
        <f>IF($J492="","",+F492)</f>
        <v/>
      </c>
      <c r="H492" s="89" t="n"/>
      <c r="I492" s="89" t="n"/>
    </row>
    <row r="493" hidden="1" s="103">
      <c r="E493" s="89">
        <f>IF($J493="","",+J493/2)</f>
        <v/>
      </c>
      <c r="F493" s="89">
        <f>IF($J493="","",+E493/2)</f>
        <v/>
      </c>
      <c r="G493" s="89">
        <f>IF($J493="","",+F493)</f>
        <v/>
      </c>
      <c r="H493" s="89" t="n"/>
      <c r="I493" s="89" t="n"/>
    </row>
    <row r="494" hidden="1" s="103">
      <c r="E494" s="89">
        <f>IF($J494="","",+J494/2)</f>
        <v/>
      </c>
      <c r="F494" s="89">
        <f>IF($J494="","",+E494/2)</f>
        <v/>
      </c>
      <c r="G494" s="89">
        <f>IF($J494="","",+F494)</f>
        <v/>
      </c>
      <c r="H494" s="89" t="n"/>
      <c r="I494" s="89" t="n"/>
    </row>
    <row r="495" hidden="1" s="103">
      <c r="E495" s="89">
        <f>IF($J495="","",+J495/2)</f>
        <v/>
      </c>
      <c r="F495" s="89">
        <f>IF($J495="","",+E495/2)</f>
        <v/>
      </c>
      <c r="G495" s="89">
        <f>IF($J495="","",+F495)</f>
        <v/>
      </c>
      <c r="H495" s="89" t="n"/>
      <c r="I495" s="89" t="n"/>
    </row>
    <row r="496" hidden="1" s="103">
      <c r="E496" s="89">
        <f>IF($J496="","",+J496/2)</f>
        <v/>
      </c>
      <c r="F496" s="89">
        <f>IF($J496="","",+E496/2)</f>
        <v/>
      </c>
      <c r="G496" s="89">
        <f>IF($J496="","",+F496)</f>
        <v/>
      </c>
      <c r="H496" s="89" t="n"/>
      <c r="I496" s="89" t="n"/>
    </row>
    <row r="497" hidden="1" s="103">
      <c r="E497" s="89">
        <f>IF($J497="","",+J497/2)</f>
        <v/>
      </c>
      <c r="F497" s="89">
        <f>IF($J497="","",+E497/2)</f>
        <v/>
      </c>
      <c r="G497" s="89">
        <f>IF($J497="","",+F497)</f>
        <v/>
      </c>
      <c r="H497" s="89" t="n"/>
      <c r="I497" s="89" t="n"/>
    </row>
    <row r="498" hidden="1" s="103">
      <c r="E498" s="89">
        <f>IF($J498="","",+J498/2)</f>
        <v/>
      </c>
      <c r="F498" s="89">
        <f>IF($J498="","",+E498/2)</f>
        <v/>
      </c>
      <c r="G498" s="89">
        <f>IF($J498="","",+F498)</f>
        <v/>
      </c>
      <c r="H498" s="89" t="n"/>
      <c r="I498" s="89" t="n"/>
    </row>
    <row r="499" hidden="1" s="103">
      <c r="E499" s="89">
        <f>IF($J499="","",+J499/2)</f>
        <v/>
      </c>
      <c r="F499" s="89">
        <f>IF($J499="","",+E499/2)</f>
        <v/>
      </c>
      <c r="G499" s="89">
        <f>IF($J499="","",+F499)</f>
        <v/>
      </c>
      <c r="H499" s="89" t="n"/>
      <c r="I499" s="89" t="n"/>
    </row>
    <row r="500" hidden="1" s="103">
      <c r="E500" s="89">
        <f>IF($J500="","",+J500/2)</f>
        <v/>
      </c>
      <c r="F500" s="89">
        <f>IF($J500="","",+E500/2)</f>
        <v/>
      </c>
      <c r="G500" s="89">
        <f>IF($J500="","",+F500)</f>
        <v/>
      </c>
      <c r="H500" s="89" t="n"/>
      <c r="I500" s="89" t="n"/>
    </row>
  </sheetData>
  <autoFilter ref="A2:AM500">
    <filterColumn colId="0" hiddenButton="0" showButton="1">
      <colorFilter dxfId="0"/>
    </filterColumn>
    <filterColumn colId="2" hiddenButton="0" showButton="1">
      <filters>
        <filter val="Active"/>
      </filters>
    </filterColumn>
  </autoFilter>
  <mergeCells count="4">
    <mergeCell ref="AB1:AE1"/>
    <mergeCell ref="AJ1:AM1"/>
    <mergeCell ref="AF1:AI1"/>
    <mergeCell ref="X1:AA1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T37"/>
  <sheetViews>
    <sheetView topLeftCell="A16" workbookViewId="0">
      <selection activeCell="B34" sqref="B34"/>
    </sheetView>
  </sheetViews>
  <sheetFormatPr baseColWidth="8" defaultRowHeight="14.5"/>
  <cols>
    <col width="9.54296875" bestFit="1" customWidth="1" style="103" min="1" max="1"/>
    <col width="25" bestFit="1" customWidth="1" style="103" min="2" max="2"/>
    <col width="11.90625" bestFit="1" customWidth="1" style="103" min="3" max="3"/>
    <col width="14.90625" bestFit="1" customWidth="1" style="103" min="4" max="4"/>
    <col width="11.1796875" bestFit="1" customWidth="1" style="103" min="5" max="5"/>
    <col width="9.6328125" bestFit="1" customWidth="1" style="103" min="6" max="17"/>
    <col width="9.6328125" bestFit="1" customWidth="1" style="103" min="19" max="19"/>
  </cols>
  <sheetData>
    <row r="1">
      <c r="A1" s="6" t="inlineStr">
        <is>
          <t>EMP CODE</t>
        </is>
      </c>
      <c r="B1" s="6" t="inlineStr">
        <is>
          <t>EMP NAME</t>
        </is>
      </c>
      <c r="C1" t="inlineStr">
        <is>
          <t>Taxable Staus</t>
        </is>
      </c>
      <c r="D1" t="inlineStr">
        <is>
          <t>Per Annum Salary</t>
        </is>
      </c>
      <c r="E1" t="inlineStr">
        <is>
          <t>Total Tax</t>
        </is>
      </c>
      <c r="F1" s="7" t="n">
        <v>46142</v>
      </c>
      <c r="G1" s="8" t="n">
        <v>46173</v>
      </c>
      <c r="H1" s="7" t="n">
        <v>46203</v>
      </c>
      <c r="I1" s="9" t="n">
        <v>46234</v>
      </c>
      <c r="J1" s="9" t="n">
        <v>46265</v>
      </c>
      <c r="K1" s="9" t="n">
        <v>46295</v>
      </c>
      <c r="L1" s="9" t="n">
        <v>46326</v>
      </c>
      <c r="M1" s="9" t="n">
        <v>46356</v>
      </c>
      <c r="N1" s="9" t="n">
        <v>46387</v>
      </c>
      <c r="O1" s="9" t="n">
        <v>46418</v>
      </c>
      <c r="P1" s="9" t="n">
        <v>46446</v>
      </c>
      <c r="Q1" s="9" t="n">
        <v>46477</v>
      </c>
    </row>
    <row r="2">
      <c r="A2" s="12" t="inlineStr">
        <is>
          <t>INF0001</t>
        </is>
      </c>
      <c r="B2" s="12" t="inlineStr">
        <is>
          <t>Arun Awasthi</t>
        </is>
      </c>
      <c r="C2">
        <f>IF(D2&lt;1275000,"No","Yes")</f>
        <v/>
      </c>
      <c r="D2" s="96">
        <f>+'Salary sheet'!K3</f>
        <v/>
      </c>
      <c r="E2" s="96">
        <f t="array" ref="E2">ROUNDUP(IF(D2&lt;=1275000, 0, SUMPRODUCT((D2-75000&gt;{0,400000,800000,1200000,1600000,2000000,2400000})*(D2-75000-{0,400000,800000,1200000,1600000,2000000,2400000}), {0,0.05,0.05,0.05,0.05,0.05,0.05}) * 1.04),0)</f>
        <v/>
      </c>
      <c r="F2" s="96">
        <f>ROUND(+$E2/12,0)</f>
        <v/>
      </c>
      <c r="G2" s="96">
        <f>ROUND(+$E2/12,0)</f>
        <v/>
      </c>
      <c r="H2" s="96">
        <f>ROUND(+$E2/12,0)</f>
        <v/>
      </c>
      <c r="I2" s="96">
        <f>ROUND(+$E2/12,0)</f>
        <v/>
      </c>
      <c r="J2" s="96">
        <f>ROUND(+$E2/12,0)</f>
        <v/>
      </c>
      <c r="K2" s="96">
        <f>ROUND(+$E2/12,0)</f>
        <v/>
      </c>
      <c r="L2" s="96">
        <f>ROUND(+$E2/12,0)</f>
        <v/>
      </c>
      <c r="M2" s="96">
        <f>ROUND(+$E2/12,0)</f>
        <v/>
      </c>
      <c r="N2" s="96">
        <f>ROUND(+$E2/12,0)</f>
        <v/>
      </c>
      <c r="O2" s="96">
        <f>ROUND(+$E2/12,0)</f>
        <v/>
      </c>
      <c r="P2" s="96">
        <f>ROUND(+$E2/12,0)</f>
        <v/>
      </c>
      <c r="Q2" s="96">
        <f>ROUND(+$E2/12,0)</f>
        <v/>
      </c>
    </row>
    <row r="3">
      <c r="A3" s="18" t="inlineStr">
        <is>
          <t>INF0002</t>
        </is>
      </c>
      <c r="B3" s="18" t="inlineStr">
        <is>
          <t>Anjita</t>
        </is>
      </c>
      <c r="C3">
        <f>IF(D3&lt;1275000,"No","Yes")</f>
        <v/>
      </c>
      <c r="D3" s="96">
        <f>+'Salary sheet'!K4</f>
        <v/>
      </c>
      <c r="E3" s="96">
        <f t="array" ref="E3">ROUNDUP(IF(D3&lt;=1275000, 0, SUMPRODUCT((D3-75000&gt;{0,400000,800000,1200000,1600000,2000000,2400000})*(D3-75000-{0,400000,800000,1200000,1600000,2000000,2400000}), {0,0.05,0.05,0.05,0.05,0.05,0.05}) * 1.04),0)</f>
        <v/>
      </c>
      <c r="F3" s="96">
        <f>ROUND(+$E3/12,0)</f>
        <v/>
      </c>
      <c r="G3" s="96">
        <f>ROUND(+$E3/12,0)</f>
        <v/>
      </c>
      <c r="H3" s="96">
        <f>ROUND(+$E3/12,0)</f>
        <v/>
      </c>
      <c r="I3" s="96">
        <f>ROUND(+$E3/12,0)</f>
        <v/>
      </c>
      <c r="J3" s="96">
        <f>ROUND(+$E3/12,0)</f>
        <v/>
      </c>
      <c r="K3" s="96">
        <f>ROUND(+$E3/12,0)</f>
        <v/>
      </c>
      <c r="L3" s="96">
        <f>ROUND(+$E3/12,0)</f>
        <v/>
      </c>
      <c r="M3" s="96">
        <f>ROUND(+$E3/12,0)</f>
        <v/>
      </c>
      <c r="N3" s="96">
        <f>ROUND(+$E3/12,0)</f>
        <v/>
      </c>
      <c r="O3" s="96">
        <f>ROUND(+$E3/12,0)</f>
        <v/>
      </c>
      <c r="P3" s="96">
        <f>ROUND(+$E3/12,0)</f>
        <v/>
      </c>
      <c r="Q3" s="96">
        <f>ROUND(+$E3/12,0)</f>
        <v/>
      </c>
    </row>
    <row r="4">
      <c r="A4" s="18" t="inlineStr">
        <is>
          <t>INF0003</t>
        </is>
      </c>
      <c r="B4" s="19" t="inlineStr">
        <is>
          <t>ABHAY KUMAR</t>
        </is>
      </c>
      <c r="C4">
        <f>IF(D4&lt;1275000,"No","Yes")</f>
        <v/>
      </c>
      <c r="D4" s="96">
        <f>+'Salary sheet'!K5</f>
        <v/>
      </c>
      <c r="E4" s="96">
        <f t="array" ref="E4">ROUNDUP(IF(D4&lt;=1275000, 0, SUMPRODUCT((D4-75000&gt;{0,400000,800000,1200000,1600000,2000000,2400000})*(D4-75000-{0,400000,800000,1200000,1600000,2000000,2400000}), {0,0.05,0.05,0.05,0.05,0.05,0.05}) * 1.04),0)</f>
        <v/>
      </c>
      <c r="F4" s="96">
        <f>ROUND(+$E4/12,0)</f>
        <v/>
      </c>
      <c r="G4" s="96">
        <f>ROUND(+$E4/12,0)</f>
        <v/>
      </c>
      <c r="H4" s="96">
        <f>ROUND(+$E4/12,0)</f>
        <v/>
      </c>
      <c r="I4" s="96">
        <f>ROUND(+$E4/12,0)</f>
        <v/>
      </c>
      <c r="J4" s="96">
        <f>ROUND(+$E4/12,0)</f>
        <v/>
      </c>
      <c r="K4" s="96">
        <f>ROUND(+$E4/12,0)</f>
        <v/>
      </c>
      <c r="L4" s="96">
        <f>ROUND(+$E4/12,0)</f>
        <v/>
      </c>
      <c r="M4" s="96">
        <f>ROUND(+$E4/12,0)</f>
        <v/>
      </c>
      <c r="N4" s="96">
        <f>ROUND(+$E4/12,0)</f>
        <v/>
      </c>
      <c r="O4" s="96">
        <f>ROUND(+$E4/12,0)</f>
        <v/>
      </c>
      <c r="P4" s="96">
        <f>ROUND(+$E4/12,0)</f>
        <v/>
      </c>
      <c r="Q4" s="96">
        <f>ROUND(+$E4/12,0)</f>
        <v/>
      </c>
    </row>
    <row r="5">
      <c r="A5" s="18" t="inlineStr">
        <is>
          <t>INF0004</t>
        </is>
      </c>
      <c r="B5" s="18" t="inlineStr">
        <is>
          <t>Brajesh Kumar Singh</t>
        </is>
      </c>
      <c r="C5">
        <f>IF(D5&lt;1275000,"No","Yes")</f>
        <v/>
      </c>
      <c r="D5" s="96">
        <f>+'Salary sheet'!K6</f>
        <v/>
      </c>
      <c r="E5" s="96">
        <f t="array" ref="E5">ROUNDUP(IF(D5&lt;=1275000, 0, SUMPRODUCT((D5-75000&gt;{0,400000,800000,1200000,1600000,2000000,2400000})*(D5-75000-{0,400000,800000,1200000,1600000,2000000,2400000}), {0,0.05,0.05,0.05,0.05,0.05,0.05}) * 1.04),0)</f>
        <v/>
      </c>
      <c r="F5" s="96">
        <f>ROUND(+$E5/12,0)</f>
        <v/>
      </c>
      <c r="G5" s="96">
        <f>ROUND(+$E5/12,0)</f>
        <v/>
      </c>
      <c r="H5" s="96">
        <f>ROUND(+$E5/12,0)</f>
        <v/>
      </c>
      <c r="I5" s="96">
        <f>ROUND(+$E5/12,0)</f>
        <v/>
      </c>
      <c r="J5" s="96">
        <f>ROUND(+$E5/12,0)</f>
        <v/>
      </c>
      <c r="K5" s="96">
        <f>ROUND(+$E5/12,0)</f>
        <v/>
      </c>
      <c r="L5" s="96">
        <f>ROUND(+$E5/12,0)</f>
        <v/>
      </c>
      <c r="M5" s="96">
        <f>ROUND(+$E5/12,0)</f>
        <v/>
      </c>
      <c r="N5" s="96">
        <f>ROUND(+$E5/12,0)</f>
        <v/>
      </c>
      <c r="O5" s="96">
        <f>ROUND(+$E5/12,0)</f>
        <v/>
      </c>
      <c r="P5" s="96">
        <f>ROUND(+$E5/12,0)</f>
        <v/>
      </c>
      <c r="Q5" s="96">
        <f>ROUND(+$E5/12,0)</f>
        <v/>
      </c>
    </row>
    <row r="6">
      <c r="A6" s="18" t="inlineStr">
        <is>
          <t>INF0005</t>
        </is>
      </c>
      <c r="B6" s="18" t="inlineStr">
        <is>
          <t>Vikash Kumar</t>
        </is>
      </c>
      <c r="C6">
        <f>IF(D6&lt;1275000,"No","Yes")</f>
        <v/>
      </c>
      <c r="D6" s="96">
        <f>+'Salary sheet'!K7</f>
        <v/>
      </c>
      <c r="E6" s="96">
        <f t="array" ref="E6">ROUNDUP(IF(D6&lt;=1275000, 0, SUMPRODUCT((D6-75000&gt;{0,400000,800000,1200000,1600000,2000000,2400000})*(D6-75000-{0,400000,800000,1200000,1600000,2000000,2400000}), {0,0.05,0.05,0.05,0.05,0.05,0.05}) * 1.04),0)</f>
        <v/>
      </c>
      <c r="F6" s="96">
        <f>ROUND(+$E6/12,0)</f>
        <v/>
      </c>
      <c r="G6" s="96">
        <f>ROUND(+$E6/12,0)</f>
        <v/>
      </c>
      <c r="H6" s="96">
        <f>ROUND(+$E6/12,0)</f>
        <v/>
      </c>
      <c r="I6" s="96">
        <f>ROUND(+$E6/12,0)</f>
        <v/>
      </c>
      <c r="J6" s="96">
        <f>ROUND(+$E6/12,0)</f>
        <v/>
      </c>
      <c r="K6" s="96">
        <f>ROUND(+$E6/12,0)</f>
        <v/>
      </c>
      <c r="L6" s="96">
        <f>ROUND(+$E6/12,0)</f>
        <v/>
      </c>
      <c r="M6" s="96">
        <f>ROUND(+$E6/12,0)</f>
        <v/>
      </c>
      <c r="N6" s="96">
        <f>ROUND(+$E6/12,0)</f>
        <v/>
      </c>
      <c r="O6" s="96">
        <f>ROUND(+$E6/12,0)</f>
        <v/>
      </c>
      <c r="P6" s="96">
        <f>ROUND(+$E6/12,0)</f>
        <v/>
      </c>
      <c r="Q6" s="96">
        <f>ROUND(+$E6/12,0)</f>
        <v/>
      </c>
    </row>
    <row r="7">
      <c r="A7" s="18" t="inlineStr">
        <is>
          <t>INF0006</t>
        </is>
      </c>
      <c r="B7" s="18" t="inlineStr">
        <is>
          <t>Ankit Saini</t>
        </is>
      </c>
      <c r="C7">
        <f>IF(D7&lt;1275000,"No","Yes")</f>
        <v/>
      </c>
      <c r="D7" s="96">
        <f>+'Salary sheet'!K8</f>
        <v/>
      </c>
      <c r="E7" s="96">
        <f t="array" ref="E7">ROUNDUP(IF(D7&lt;=1275000, 0, SUMPRODUCT((D7-75000&gt;{0,400000,800000,1200000,1600000,2000000,2400000})*(D7-75000-{0,400000,800000,1200000,1600000,2000000,2400000}), {0,0.05,0.05,0.05,0.05,0.05,0.05}) * 1.04),0)</f>
        <v/>
      </c>
      <c r="F7" s="96">
        <f>ROUND(+$E7/12,0)</f>
        <v/>
      </c>
      <c r="G7" s="96">
        <f>ROUND(+$E7/12,0)</f>
        <v/>
      </c>
      <c r="H7" s="96">
        <f>ROUND(+$E7/12,0)</f>
        <v/>
      </c>
      <c r="I7" s="96">
        <f>ROUND(+$E7/12,0)</f>
        <v/>
      </c>
      <c r="J7" s="96">
        <f>ROUND(+$E7/12,0)</f>
        <v/>
      </c>
      <c r="K7" s="96">
        <f>ROUND(+$E7/12,0)</f>
        <v/>
      </c>
      <c r="L7" s="96">
        <f>ROUND(+$E7/12,0)</f>
        <v/>
      </c>
      <c r="M7" s="96">
        <f>ROUND(+$E7/12,0)</f>
        <v/>
      </c>
      <c r="N7" s="96">
        <f>ROUND(+$E7/12,0)</f>
        <v/>
      </c>
      <c r="O7" s="96">
        <f>ROUND(+$E7/12,0)</f>
        <v/>
      </c>
      <c r="P7" s="96">
        <f>ROUND(+$E7/12,0)</f>
        <v/>
      </c>
      <c r="Q7" s="96">
        <f>ROUND(+$E7/12,0)</f>
        <v/>
      </c>
    </row>
    <row r="8">
      <c r="A8" s="18" t="inlineStr">
        <is>
          <t>INF0007</t>
        </is>
      </c>
      <c r="B8" s="93" t="inlineStr">
        <is>
          <t>Khokan Pradhan</t>
        </is>
      </c>
      <c r="C8">
        <f>IF(D8&lt;1275000,"No","Yes")</f>
        <v/>
      </c>
      <c r="D8" s="96">
        <f>+'Salary sheet'!K9</f>
        <v/>
      </c>
      <c r="E8" s="96">
        <f t="array" ref="E8">ROUNDUP(IF(D8&lt;=1275000, 0, SUMPRODUCT((D8-75000&gt;{0,400000,800000,1200000,1600000,2000000,2400000})*(D8-75000-{0,400000,800000,1200000,1600000,2000000,2400000}), {0,0.05,0.05,0.05,0.05,0.05,0.05}) * 1.04),0)</f>
        <v/>
      </c>
      <c r="F8" s="96">
        <f>ROUND(+$E8/12,0)</f>
        <v/>
      </c>
      <c r="G8" s="96">
        <f>ROUND(+$E8/12,0)</f>
        <v/>
      </c>
      <c r="H8" s="96">
        <f>ROUND(+$E8/12,0)</f>
        <v/>
      </c>
      <c r="I8" s="96">
        <f>ROUND(+$E8/12,0)</f>
        <v/>
      </c>
      <c r="J8" s="96">
        <f>ROUND(+$E8/12,0)</f>
        <v/>
      </c>
      <c r="K8" s="96">
        <f>ROUND(+$E8/12,0)</f>
        <v/>
      </c>
      <c r="L8" s="96">
        <f>ROUND(+$E8/12,0)</f>
        <v/>
      </c>
      <c r="M8" s="96">
        <f>ROUND(+$E8/12,0)</f>
        <v/>
      </c>
      <c r="N8" s="96">
        <f>ROUND(+$E8/12,0)</f>
        <v/>
      </c>
      <c r="O8" s="96">
        <f>ROUND(+$E8/12,0)</f>
        <v/>
      </c>
      <c r="P8" s="96">
        <f>ROUND(+$E8/12,0)</f>
        <v/>
      </c>
      <c r="Q8" s="96">
        <f>ROUND(+$E8/12,0)</f>
        <v/>
      </c>
    </row>
    <row r="9">
      <c r="A9" s="18" t="inlineStr">
        <is>
          <t>INF0008</t>
        </is>
      </c>
      <c r="B9" s="93" t="inlineStr">
        <is>
          <t>Amit</t>
        </is>
      </c>
      <c r="C9">
        <f>IF(D9&lt;1275000,"No","Yes")</f>
        <v/>
      </c>
      <c r="D9" s="96">
        <f>+'Salary sheet'!K10</f>
        <v/>
      </c>
      <c r="E9" s="96">
        <f t="array" ref="E9">ROUNDUP(IF(D9&lt;=1275000, 0, SUMPRODUCT((D9-75000&gt;{0,400000,800000,1200000,1600000,2000000,2400000})*(D9-75000-{0,400000,800000,1200000,1600000,2000000,2400000}), {0,0.05,0.05,0.05,0.05,0.05,0.05}) * 1.04),0)</f>
        <v/>
      </c>
      <c r="F9" s="96">
        <f>ROUND(+$E9/12,0)</f>
        <v/>
      </c>
      <c r="G9" s="96">
        <f>ROUND(+$E9/12,0)</f>
        <v/>
      </c>
      <c r="H9" s="96">
        <f>ROUND(+$E9/12,0)</f>
        <v/>
      </c>
      <c r="I9" s="96">
        <f>ROUND(+$E9/12,0)</f>
        <v/>
      </c>
      <c r="J9" s="96">
        <f>ROUND(+$E9/12,0)</f>
        <v/>
      </c>
      <c r="K9" s="96">
        <f>ROUND(+$E9/12,0)</f>
        <v/>
      </c>
      <c r="L9" s="96">
        <f>ROUND(+$E9/12,0)</f>
        <v/>
      </c>
      <c r="M9" s="96">
        <f>ROUND(+$E9/12,0)</f>
        <v/>
      </c>
      <c r="N9" s="96">
        <f>ROUND(+$E9/12,0)</f>
        <v/>
      </c>
      <c r="O9" s="96">
        <f>ROUND(+$E9/12,0)</f>
        <v/>
      </c>
      <c r="P9" s="96">
        <f>ROUND(+$E9/12,0)</f>
        <v/>
      </c>
      <c r="Q9" s="96">
        <f>ROUND(+$E9/12,0)</f>
        <v/>
      </c>
    </row>
    <row r="10">
      <c r="A10" s="18" t="inlineStr">
        <is>
          <t>INF0009</t>
        </is>
      </c>
      <c r="B10" s="18" t="inlineStr">
        <is>
          <t>Adarsh Prasad</t>
        </is>
      </c>
      <c r="C10">
        <f>IF(D10&lt;1275000,"No","Yes")</f>
        <v/>
      </c>
      <c r="D10" s="96">
        <f>+'Salary sheet'!K11</f>
        <v/>
      </c>
      <c r="E10" s="96">
        <f t="array" ref="E10">ROUNDUP(IF(D10&lt;=1275000, 0, SUMPRODUCT((D10-75000&gt;{0,400000,800000,1200000,1600000,2000000,2400000})*(D10-75000-{0,400000,800000,1200000,1600000,2000000,2400000}), {0,0.05,0.05,0.05,0.05,0.05,0.05}) * 1.04),0)</f>
        <v/>
      </c>
      <c r="F10" s="96">
        <f>ROUND(+$E10/12,0)</f>
        <v/>
      </c>
      <c r="G10" s="96">
        <f>ROUND(+$E10/12,0)</f>
        <v/>
      </c>
      <c r="H10" s="96">
        <f>ROUND(+$E10/12,0)</f>
        <v/>
      </c>
      <c r="I10" s="96">
        <f>ROUND(+$E10/12,0)</f>
        <v/>
      </c>
      <c r="J10" s="96">
        <f>ROUND(+$E10/12,0)</f>
        <v/>
      </c>
      <c r="K10" s="96">
        <f>ROUND(+$E10/12,0)</f>
        <v/>
      </c>
      <c r="L10" s="96">
        <f>ROUND(+$E10/12,0)</f>
        <v/>
      </c>
      <c r="M10" s="96">
        <f>ROUND(+$E10/12,0)</f>
        <v/>
      </c>
      <c r="N10" s="96">
        <f>ROUND(+$E10/12,0)</f>
        <v/>
      </c>
      <c r="O10" s="96">
        <f>ROUND(+$E10/12,0)</f>
        <v/>
      </c>
      <c r="P10" s="96">
        <f>ROUND(+$E10/12,0)</f>
        <v/>
      </c>
      <c r="Q10" s="96">
        <f>ROUND(+$E10/12,0)</f>
        <v/>
      </c>
    </row>
    <row r="11">
      <c r="A11" s="18" t="inlineStr">
        <is>
          <t>INF0010</t>
        </is>
      </c>
      <c r="B11" s="18" t="inlineStr">
        <is>
          <t>Vikash Kumar Singh</t>
        </is>
      </c>
      <c r="C11">
        <f>IF(D11&lt;1275000,"No","Yes")</f>
        <v/>
      </c>
      <c r="D11" s="96">
        <f>+'Salary sheet'!K12</f>
        <v/>
      </c>
      <c r="E11" s="96">
        <f t="array" ref="E11">ROUNDUP(IF(D11&lt;=1275000, 0, SUMPRODUCT((D11-75000&gt;{0,400000,800000,1200000,1600000,2000000,2400000})*(D11-75000-{0,400000,800000,1200000,1600000,2000000,2400000}), {0,0.05,0.05,0.05,0.05,0.05,0.05}) * 1.04),0)</f>
        <v/>
      </c>
      <c r="F11" s="96">
        <f>ROUND(+$E11/12,0)</f>
        <v/>
      </c>
      <c r="G11" s="96">
        <f>ROUND(+$E11/12,0)</f>
        <v/>
      </c>
      <c r="H11" s="96">
        <f>ROUND(+$E11/12,0)</f>
        <v/>
      </c>
      <c r="I11" s="96">
        <f>ROUND(+$E11/12,0)</f>
        <v/>
      </c>
      <c r="J11" s="96">
        <f>ROUND(+$E11/12,0)</f>
        <v/>
      </c>
      <c r="K11" s="96">
        <f>ROUND(+$E11/12,0)</f>
        <v/>
      </c>
      <c r="L11" s="96">
        <f>ROUND(+$E11/12,0)</f>
        <v/>
      </c>
      <c r="M11" s="96">
        <f>ROUND(+$E11/12,0)</f>
        <v/>
      </c>
      <c r="N11" s="96">
        <f>ROUND(+$E11/12,0)</f>
        <v/>
      </c>
      <c r="O11" s="96">
        <f>ROUND(+$E11/12,0)</f>
        <v/>
      </c>
      <c r="P11" s="96">
        <f>ROUND(+$E11/12,0)</f>
        <v/>
      </c>
      <c r="Q11" s="96">
        <f>ROUND(+$E11/12,0)</f>
        <v/>
      </c>
    </row>
    <row r="12">
      <c r="A12" s="18" t="inlineStr">
        <is>
          <t>INF0011</t>
        </is>
      </c>
      <c r="B12" s="93" t="inlineStr">
        <is>
          <t>Arjun Kumar</t>
        </is>
      </c>
      <c r="C12">
        <f>IF(D12&lt;1275000,"No","Yes")</f>
        <v/>
      </c>
      <c r="D12" s="96">
        <f>+'Salary sheet'!K13</f>
        <v/>
      </c>
      <c r="E12" s="96">
        <f t="array" ref="E12">ROUNDUP(IF(D12&lt;=1275000, 0, SUMPRODUCT((D12-75000&gt;{0,400000,800000,1200000,1600000,2000000,2400000})*(D12-75000-{0,400000,800000,1200000,1600000,2000000,2400000}), {0,0.05,0.05,0.05,0.05,0.05,0.05}) * 1.04),0)</f>
        <v/>
      </c>
      <c r="F12" s="96">
        <f>ROUND(+$E12/12,0)</f>
        <v/>
      </c>
      <c r="G12" s="96">
        <f>ROUND(+$E12/12,0)</f>
        <v/>
      </c>
      <c r="H12" s="96">
        <f>ROUND(+$E12/12,0)</f>
        <v/>
      </c>
      <c r="I12" s="96">
        <f>ROUND(+$E12/12,0)</f>
        <v/>
      </c>
      <c r="J12" s="96">
        <f>ROUND(+$E12/12,0)</f>
        <v/>
      </c>
      <c r="K12" s="96">
        <f>ROUND(+$E12/12,0)</f>
        <v/>
      </c>
      <c r="L12" s="96">
        <f>ROUND(+$E12/12,0)</f>
        <v/>
      </c>
      <c r="M12" s="96">
        <f>ROUND(+$E12/12,0)</f>
        <v/>
      </c>
      <c r="N12" s="96">
        <f>ROUND(+$E12/12,0)</f>
        <v/>
      </c>
      <c r="O12" s="96">
        <f>ROUND(+$E12/12,0)</f>
        <v/>
      </c>
      <c r="P12" s="96">
        <f>ROUND(+$E12/12,0)</f>
        <v/>
      </c>
      <c r="Q12" s="96">
        <f>ROUND(+$E12/12,0)</f>
        <v/>
      </c>
    </row>
    <row r="13">
      <c r="A13" s="18" t="inlineStr">
        <is>
          <t>INF0012</t>
        </is>
      </c>
      <c r="B13" s="18" t="inlineStr">
        <is>
          <t>Naitik Shukla</t>
        </is>
      </c>
      <c r="C13">
        <f>IF(D13&lt;1275000,"No","Yes")</f>
        <v/>
      </c>
      <c r="D13" s="96">
        <f>+'Salary sheet'!K14</f>
        <v/>
      </c>
      <c r="E13" s="96">
        <f t="array" ref="E13">ROUNDUP(IF(D13&lt;=1275000, 0, SUMPRODUCT((D13-75000&gt;{0,400000,800000,1200000,1600000,2000000,2400000})*(D13-75000-{0,400000,800000,1200000,1600000,2000000,2400000}), {0,0.05,0.05,0.05,0.05,0.05,0.05}) * 1.04),0)</f>
        <v/>
      </c>
      <c r="F13" s="96">
        <f>ROUND(+$E13/12,0)</f>
        <v/>
      </c>
      <c r="G13" s="96">
        <f>ROUND(+$E13/12,0)</f>
        <v/>
      </c>
      <c r="H13" s="96">
        <f>ROUND(+$E13/12,0)</f>
        <v/>
      </c>
      <c r="I13" s="96">
        <f>ROUND(+$E13/12,0)</f>
        <v/>
      </c>
      <c r="J13" s="96">
        <f>ROUND(+$E13/12,0)</f>
        <v/>
      </c>
      <c r="K13" s="96">
        <f>ROUND(+$E13/12,0)</f>
        <v/>
      </c>
      <c r="L13" s="96">
        <f>ROUND(+$E13/12,0)</f>
        <v/>
      </c>
      <c r="M13" s="96">
        <f>ROUND(+$E13/12,0)</f>
        <v/>
      </c>
      <c r="N13" s="96">
        <f>ROUND(+$E13/12,0)</f>
        <v/>
      </c>
      <c r="O13" s="96">
        <f>ROUND(+$E13/12,0)</f>
        <v/>
      </c>
      <c r="P13" s="96">
        <f>ROUND(+$E13/12,0)</f>
        <v/>
      </c>
      <c r="Q13" s="96">
        <f>ROUND(+$E13/12,0)</f>
        <v/>
      </c>
    </row>
    <row r="14">
      <c r="A14" s="18" t="inlineStr">
        <is>
          <t>INF0013</t>
        </is>
      </c>
      <c r="B14" s="93" t="inlineStr">
        <is>
          <t>Naresh Rawat</t>
        </is>
      </c>
      <c r="C14">
        <f>IF(D14&lt;1275000,"No","Yes")</f>
        <v/>
      </c>
      <c r="D14" s="96">
        <f>+'Salary sheet'!K15</f>
        <v/>
      </c>
      <c r="E14" s="96">
        <f t="array" ref="E14">ROUNDUP(IF(D14&lt;=1275000, 0, SUMPRODUCT((D14-75000&gt;{0,400000,800000,1200000,1600000,2000000,2400000})*(D14-75000-{0,400000,800000,1200000,1600000,2000000,2400000}), {0,0.05,0.05,0.05,0.05,0.05,0.05}) * 1.04),0)</f>
        <v/>
      </c>
      <c r="F14" s="96">
        <f>ROUND(+$E14/12,0)</f>
        <v/>
      </c>
      <c r="G14" s="96">
        <f>ROUND(+$E14/12,0)</f>
        <v/>
      </c>
      <c r="H14" s="96">
        <f>ROUND(+$E14/12,0)</f>
        <v/>
      </c>
      <c r="I14" s="96">
        <f>ROUND(+$E14/12,0)</f>
        <v/>
      </c>
      <c r="J14" s="96">
        <f>ROUND(+$E14/12,0)</f>
        <v/>
      </c>
      <c r="K14" s="96">
        <f>ROUND(+$E14/12,0)</f>
        <v/>
      </c>
      <c r="L14" s="96">
        <f>ROUND(+$E14/12,0)</f>
        <v/>
      </c>
      <c r="M14" s="96">
        <f>ROUND(+$E14/12,0)</f>
        <v/>
      </c>
      <c r="N14" s="96">
        <f>ROUND(+$E14/12,0)</f>
        <v/>
      </c>
      <c r="O14" s="96">
        <f>ROUND(+$E14/12,0)</f>
        <v/>
      </c>
      <c r="P14" s="96">
        <f>ROUND(+$E14/12,0)</f>
        <v/>
      </c>
      <c r="Q14" s="96">
        <f>ROUND(+$E14/12,0)</f>
        <v/>
      </c>
    </row>
    <row r="15">
      <c r="A15" s="18" t="inlineStr">
        <is>
          <t>INF0014</t>
        </is>
      </c>
      <c r="B15" s="93" t="inlineStr">
        <is>
          <t>Santosh Kumar Upadhayay</t>
        </is>
      </c>
      <c r="C15">
        <f>IF(D15&lt;1275000,"No","Yes")</f>
        <v/>
      </c>
      <c r="D15" s="96">
        <f>+'Salary sheet'!K16</f>
        <v/>
      </c>
      <c r="E15" s="96">
        <f t="array" ref="E15">ROUNDUP(IF(D15&lt;=1275000, 0, SUMPRODUCT((D15-75000&gt;{0,400000,800000,1200000,1600000,2000000,2400000})*(D15-75000-{0,400000,800000,1200000,1600000,2000000,2400000}), {0,0.05,0.05,0.05,0.05,0.05,0.05}) * 1.04),0)</f>
        <v/>
      </c>
      <c r="F15" s="96">
        <f>ROUND(+$E15/12,0)</f>
        <v/>
      </c>
      <c r="G15" s="96">
        <f>ROUND(+$E15/12,0)</f>
        <v/>
      </c>
      <c r="H15" s="96">
        <f>ROUND(+$E15/12,0)</f>
        <v/>
      </c>
      <c r="I15" s="96">
        <f>ROUND(+$E15/12,0)</f>
        <v/>
      </c>
      <c r="J15" s="96">
        <f>ROUND(+$E15/12,0)</f>
        <v/>
      </c>
      <c r="K15" s="96">
        <f>ROUND(+$E15/12,0)</f>
        <v/>
      </c>
      <c r="L15" s="96">
        <f>ROUND(+$E15/12,0)</f>
        <v/>
      </c>
      <c r="M15" s="96">
        <f>ROUND(+$E15/12,0)</f>
        <v/>
      </c>
      <c r="N15" s="96">
        <f>ROUND(+$E15/12,0)</f>
        <v/>
      </c>
      <c r="O15" s="96">
        <f>ROUND(+$E15/12,0)</f>
        <v/>
      </c>
      <c r="P15" s="96">
        <f>ROUND(+$E15/12,0)</f>
        <v/>
      </c>
      <c r="Q15" s="96">
        <f>ROUND(+$E15/12,0)</f>
        <v/>
      </c>
    </row>
    <row r="16">
      <c r="A16" s="18" t="inlineStr">
        <is>
          <t>INF0015</t>
        </is>
      </c>
      <c r="B16" s="93" t="inlineStr">
        <is>
          <t>Aman Tiwari</t>
        </is>
      </c>
      <c r="C16">
        <f>IF(D16&lt;1275000,"No","Yes")</f>
        <v/>
      </c>
      <c r="D16" s="96">
        <f>+'Salary sheet'!K17</f>
        <v/>
      </c>
      <c r="E16" s="96">
        <f t="array" ref="E16">ROUNDUP(IF(D16&lt;=1275000, 0, SUMPRODUCT((D16-75000&gt;{0,400000,800000,1200000,1600000,2000000,2400000})*(D16-75000-{0,400000,800000,1200000,1600000,2000000,2400000}), {0,0.05,0.05,0.05,0.05,0.05,0.05}) * 1.04),0)</f>
        <v/>
      </c>
      <c r="F16" s="96">
        <f>ROUND(+$E16/12,0)</f>
        <v/>
      </c>
      <c r="G16" s="96">
        <f>ROUND(+$E16/12,0)</f>
        <v/>
      </c>
      <c r="H16" s="96">
        <f>ROUND(+$E16/12,0)</f>
        <v/>
      </c>
      <c r="I16" s="96">
        <f>ROUND(+$E16/12,0)</f>
        <v/>
      </c>
      <c r="J16" s="96">
        <f>ROUND(+$E16/12,0)</f>
        <v/>
      </c>
      <c r="K16" s="96">
        <f>ROUND(+$E16/12,0)</f>
        <v/>
      </c>
      <c r="L16" s="96">
        <f>ROUND(+$E16/12,0)</f>
        <v/>
      </c>
      <c r="M16" s="96">
        <f>ROUND(+$E16/12,0)</f>
        <v/>
      </c>
      <c r="N16" s="96">
        <f>ROUND(+$E16/12,0)</f>
        <v/>
      </c>
      <c r="O16" s="96">
        <f>ROUND(+$E16/12,0)</f>
        <v/>
      </c>
      <c r="P16" s="96">
        <f>ROUND(+$E16/12,0)</f>
        <v/>
      </c>
      <c r="Q16" s="96">
        <f>ROUND(+$E16/12,0)</f>
        <v/>
      </c>
    </row>
    <row r="17">
      <c r="A17" s="18" t="inlineStr">
        <is>
          <t>INF0016</t>
        </is>
      </c>
      <c r="B17" s="93" t="inlineStr">
        <is>
          <t>Saumya Agrahari</t>
        </is>
      </c>
      <c r="C17">
        <f>IF(D17&lt;1275000,"No","Yes")</f>
        <v/>
      </c>
      <c r="D17" s="96">
        <f>+'Salary sheet'!K18</f>
        <v/>
      </c>
      <c r="E17" s="96">
        <f t="array" ref="E17">ROUNDUP(IF(D17&lt;=1275000, 0, SUMPRODUCT((D17-75000&gt;{0,400000,800000,1200000,1600000,2000000,2400000})*(D17-75000-{0,400000,800000,1200000,1600000,2000000,2400000}), {0,0.05,0.05,0.05,0.05,0.05,0.05}) * 1.04),0)</f>
        <v/>
      </c>
      <c r="F17" s="96">
        <f>ROUND(+$E17/12,0)</f>
        <v/>
      </c>
      <c r="G17" s="96">
        <f>ROUND(+$E17/12,0)</f>
        <v/>
      </c>
      <c r="H17" s="96">
        <f>ROUND(+$E17/12,0)</f>
        <v/>
      </c>
      <c r="I17" s="96">
        <f>ROUND(+$E17/12,0)</f>
        <v/>
      </c>
      <c r="J17" s="96">
        <f>ROUND(+$E17/12,0)</f>
        <v/>
      </c>
      <c r="K17" s="96">
        <f>ROUND(+$E17/12,0)</f>
        <v/>
      </c>
      <c r="L17" s="96">
        <f>ROUND(+$E17/12,0)</f>
        <v/>
      </c>
      <c r="M17" s="96">
        <f>ROUND(+$E17/12,0)</f>
        <v/>
      </c>
      <c r="N17" s="96">
        <f>ROUND(+$E17/12,0)</f>
        <v/>
      </c>
      <c r="O17" s="96">
        <f>ROUND(+$E17/12,0)</f>
        <v/>
      </c>
      <c r="P17" s="96">
        <f>ROUND(+$E17/12,0)</f>
        <v/>
      </c>
      <c r="Q17" s="96">
        <f>ROUND(+$E17/12,0)</f>
        <v/>
      </c>
    </row>
    <row r="18">
      <c r="A18" s="12" t="inlineStr">
        <is>
          <t>INF0017</t>
        </is>
      </c>
      <c r="B18" s="94" t="inlineStr">
        <is>
          <t>VORA VIVEKKUMAR ARVINDBHAI</t>
        </is>
      </c>
      <c r="C18">
        <f>IF(D18&lt;1275000,"No","Yes")</f>
        <v/>
      </c>
      <c r="D18" s="96">
        <f>+'Salary sheet'!K19</f>
        <v/>
      </c>
      <c r="E18" s="96">
        <f t="array" ref="E18">ROUNDUP(IF(D18&lt;=1275000, 0, SUMPRODUCT((D18-75000&gt;{0,400000,800000,1200000,1600000,2000000,2400000})*(D18-75000-{0,400000,800000,1200000,1600000,2000000,2400000}), {0,0.05,0.05,0.05,0.05,0.05,0.05}) * 1.04),0)</f>
        <v/>
      </c>
      <c r="F18" s="96">
        <f>ROUND(+$E18/12,0)</f>
        <v/>
      </c>
      <c r="G18" s="96">
        <f>ROUND(+$E18/12,0)</f>
        <v/>
      </c>
      <c r="H18" s="96">
        <f>ROUND(+$E18/12,0)</f>
        <v/>
      </c>
      <c r="I18" s="96">
        <f>ROUND(+$E18/12,0)</f>
        <v/>
      </c>
      <c r="J18" s="96">
        <f>ROUND(+$E18/12,0)</f>
        <v/>
      </c>
      <c r="K18" s="96">
        <f>ROUND(+$E18/12,0)</f>
        <v/>
      </c>
      <c r="L18" s="96">
        <f>ROUND(+$E18/12,0)</f>
        <v/>
      </c>
      <c r="M18" s="96">
        <f>ROUND(+$E18/12,0)</f>
        <v/>
      </c>
      <c r="N18" s="96">
        <f>ROUND(+$E18/12,0)</f>
        <v/>
      </c>
      <c r="O18" s="96">
        <f>ROUND(+$E18/12,0)</f>
        <v/>
      </c>
      <c r="P18" s="96">
        <f>ROUND(+$E18/12,0)</f>
        <v/>
      </c>
      <c r="Q18" s="96">
        <f>ROUND(+$E18/12,0)</f>
        <v/>
      </c>
    </row>
    <row r="19">
      <c r="A19" s="18" t="inlineStr">
        <is>
          <t>INF0018</t>
        </is>
      </c>
      <c r="B19" s="18" t="inlineStr">
        <is>
          <t>Chandan kumar mandal</t>
        </is>
      </c>
      <c r="C19">
        <f>IF(D19&lt;1275000,"No","Yes")</f>
        <v/>
      </c>
      <c r="D19" s="96">
        <f>+'Salary sheet'!K20</f>
        <v/>
      </c>
      <c r="E19" s="96">
        <f t="array" ref="E19">ROUNDUP(IF(D19&lt;=1275000, 0, SUMPRODUCT((D19-75000&gt;{0,400000,800000,1200000,1600000,2000000,2400000})*(D19-75000-{0,400000,800000,1200000,1600000,2000000,2400000}), {0,0.05,0.05,0.05,0.05,0.05,0.05}) * 1.04),0)</f>
        <v/>
      </c>
      <c r="F19" s="96">
        <f>ROUND(+$E19/12,0)</f>
        <v/>
      </c>
      <c r="G19" s="96">
        <f>ROUND(+$E19/12,0)</f>
        <v/>
      </c>
      <c r="H19" s="96">
        <f>ROUND(+$E19/12,0)</f>
        <v/>
      </c>
      <c r="I19" s="96">
        <f>ROUND(+$E19/12,0)</f>
        <v/>
      </c>
      <c r="J19" s="96">
        <f>ROUND(+$E19/12,0)</f>
        <v/>
      </c>
      <c r="K19" s="96">
        <f>ROUND(+$E19/12,0)</f>
        <v/>
      </c>
      <c r="L19" s="96">
        <f>ROUND(+$E19/12,0)</f>
        <v/>
      </c>
      <c r="M19" s="96">
        <f>ROUND(+$E19/12,0)</f>
        <v/>
      </c>
      <c r="N19" s="96">
        <f>ROUND(+$E19/12,0)</f>
        <v/>
      </c>
      <c r="O19" s="96">
        <f>ROUND(+$E19/12,0)</f>
        <v/>
      </c>
      <c r="P19" s="96">
        <f>ROUND(+$E19/12,0)</f>
        <v/>
      </c>
      <c r="Q19" s="96">
        <f>ROUND(+$E19/12,0)</f>
        <v/>
      </c>
    </row>
    <row r="20">
      <c r="A20" s="18" t="inlineStr">
        <is>
          <t>INF0019</t>
        </is>
      </c>
      <c r="B20" s="19" t="inlineStr">
        <is>
          <t>Rishabh Khanna</t>
        </is>
      </c>
      <c r="C20">
        <f>IF(D20&lt;1275000,"No","Yes")</f>
        <v/>
      </c>
      <c r="D20" s="96">
        <f>+'Salary sheet'!K21</f>
        <v/>
      </c>
      <c r="E20" s="96">
        <f t="array" ref="E20">ROUNDUP(IF(D20&lt;=1275000, 0, SUMPRODUCT((D20-75000&gt;{0,400000,800000,1200000,1600000,2000000,2400000})*(D20-75000-{0,400000,800000,1200000,1600000,2000000,2400000}), {0,0.05,0.05,0.05,0.05,0.05,0.05}) * 1.04),0)</f>
        <v/>
      </c>
      <c r="F20" s="96">
        <f>ROUND(+$E20/12,0)</f>
        <v/>
      </c>
      <c r="G20" s="96">
        <f>ROUND(+$E20/12,0)</f>
        <v/>
      </c>
      <c r="H20" s="96">
        <f>ROUND(+$E20/12,0)</f>
        <v/>
      </c>
      <c r="I20" s="96">
        <f>ROUND(+$E20/12,0)</f>
        <v/>
      </c>
      <c r="J20" s="96">
        <f>ROUND(+$E20/12,0)</f>
        <v/>
      </c>
      <c r="K20" s="96">
        <f>ROUND(+$E20/12,0)</f>
        <v/>
      </c>
      <c r="L20" s="96">
        <f>ROUND(+$E20/12,0)</f>
        <v/>
      </c>
      <c r="M20" s="96">
        <f>ROUND(+$E20/12,0)</f>
        <v/>
      </c>
      <c r="N20" s="96">
        <f>ROUND(+$E20/12,0)</f>
        <v/>
      </c>
      <c r="O20" s="96">
        <f>ROUND(+$E20/12,0)</f>
        <v/>
      </c>
      <c r="P20" s="96">
        <f>ROUND(+$E20/12,0)</f>
        <v/>
      </c>
      <c r="Q20" s="96">
        <f>ROUND(+$E20/12,0)</f>
        <v/>
      </c>
    </row>
    <row r="21">
      <c r="A21" s="18" t="inlineStr">
        <is>
          <t>INF0020</t>
        </is>
      </c>
      <c r="B21" s="19" t="inlineStr">
        <is>
          <t>MANOJ KUMAR KASHYAP</t>
        </is>
      </c>
      <c r="C21">
        <f>IF(D21&lt;1275000,"No","Yes")</f>
        <v/>
      </c>
      <c r="D21" s="96">
        <f>+'Salary sheet'!K22</f>
        <v/>
      </c>
      <c r="E21" s="96">
        <f t="array" ref="E21">ROUNDUP(IF(D21&lt;=1275000, 0, SUMPRODUCT((D21-75000&gt;{0,400000,800000,1200000,1600000,2000000,2400000})*(D21-75000-{0,400000,800000,1200000,1600000,2000000,2400000}), {0,0.05,0.05,0.05,0.05,0.05,0.05}) * 1.04),0)</f>
        <v/>
      </c>
      <c r="F21" s="96" t="n">
        <v>0</v>
      </c>
      <c r="G21" s="96" t="n">
        <v>0</v>
      </c>
      <c r="H21" s="96" t="n">
        <v>0</v>
      </c>
      <c r="I21" s="96">
        <f>ROUND((+$E21/12)+($S$21/9),0)</f>
        <v/>
      </c>
      <c r="J21" s="96">
        <f>ROUND((+$E21/12)+($S$21/9),0)</f>
        <v/>
      </c>
      <c r="K21" s="96">
        <f>ROUND((+$E21/12)+($S$21/9),0)</f>
        <v/>
      </c>
      <c r="L21" s="96">
        <f>ROUND((+$E21/12)+($S$21/9),0)</f>
        <v/>
      </c>
      <c r="M21" s="96">
        <f>ROUND((+$E21/12)+($S$21/9),0)</f>
        <v/>
      </c>
      <c r="N21" s="96">
        <f>ROUND((+$E21/12)+($S$21/9),0)</f>
        <v/>
      </c>
      <c r="O21" s="96">
        <f>ROUND((+$E21/12)+($S$21/9),0)</f>
        <v/>
      </c>
      <c r="P21" s="96" t="n">
        <v>0</v>
      </c>
      <c r="Q21" s="96" t="n">
        <v>0</v>
      </c>
      <c r="S21" s="16" t="n"/>
      <c r="T21" t="inlineStr">
        <is>
          <t>Apr to Jun</t>
        </is>
      </c>
    </row>
    <row r="22">
      <c r="A22" s="18" t="inlineStr">
        <is>
          <t>INF0021</t>
        </is>
      </c>
      <c r="B22" s="93" t="inlineStr">
        <is>
          <t>Kaushal</t>
        </is>
      </c>
      <c r="C22">
        <f>IF(D22&lt;1275000,"No","Yes")</f>
        <v/>
      </c>
      <c r="D22" s="96">
        <f>+'Salary sheet'!K23</f>
        <v/>
      </c>
      <c r="E22" s="96">
        <f t="array" ref="E22">ROUNDUP(IF(D22&lt;=1275000, 0, SUMPRODUCT((D22-75000&gt;{0,400000,800000,1200000,1600000,2000000,2400000})*(D22-75000-{0,400000,800000,1200000,1600000,2000000,2400000}), {0,0.05,0.05,0.05,0.05,0.05,0.05}) * 1.04),0)</f>
        <v/>
      </c>
      <c r="F22" s="96">
        <f>ROUND(+$E22/12,0)</f>
        <v/>
      </c>
      <c r="G22" s="96">
        <f>ROUND(+$E22/12,0)</f>
        <v/>
      </c>
      <c r="H22" s="96">
        <f>ROUND(+$E22/12,0)</f>
        <v/>
      </c>
      <c r="I22" s="96">
        <f>ROUND(+$E22/12,0)</f>
        <v/>
      </c>
      <c r="J22" s="96">
        <f>ROUND(+$E22/12,0)</f>
        <v/>
      </c>
      <c r="K22" s="96">
        <f>ROUND(+$E22/12,0)</f>
        <v/>
      </c>
      <c r="L22" s="96">
        <f>ROUND(+$E22/12,0)</f>
        <v/>
      </c>
      <c r="M22" s="96">
        <f>ROUND(+$E22/12,0)</f>
        <v/>
      </c>
      <c r="N22" s="96">
        <f>ROUND(+$E22/12,0)</f>
        <v/>
      </c>
      <c r="O22" s="96">
        <f>ROUND(+$E22/12,0)</f>
        <v/>
      </c>
      <c r="P22" s="96">
        <f>ROUND(+$E22/12,0)</f>
        <v/>
      </c>
      <c r="Q22" s="96">
        <f>ROUND(+$E22/12,0)</f>
        <v/>
      </c>
    </row>
    <row r="23">
      <c r="A23" s="18" t="inlineStr">
        <is>
          <t>INF0022</t>
        </is>
      </c>
      <c r="B23" s="19" t="inlineStr">
        <is>
          <t>Vinay Chauhan</t>
        </is>
      </c>
      <c r="C23">
        <f>IF(D23&lt;1275000,"No","Yes")</f>
        <v/>
      </c>
      <c r="D23" s="96">
        <f>+'Salary sheet'!K24</f>
        <v/>
      </c>
      <c r="E23" s="96">
        <f t="array" ref="E23">ROUNDUP(IF(D23&lt;=1275000, 0, SUMPRODUCT((D23-75000&gt;{0,400000,800000,1200000,1600000,2000000,2400000})*(D23-75000-{0,400000,800000,1200000,1600000,2000000,2400000}), {0,0.05,0.05,0.05,0.05,0.05,0.05}) * 1.04),0)</f>
        <v/>
      </c>
      <c r="F23" s="96">
        <f>ROUND(+$E23/12,0)</f>
        <v/>
      </c>
      <c r="G23" s="96">
        <f>ROUND(+$E23/12,0)</f>
        <v/>
      </c>
      <c r="H23" s="96">
        <f>ROUND(+$E23/12,0)</f>
        <v/>
      </c>
      <c r="I23" s="96">
        <f>ROUND(+$E23/12,0)</f>
        <v/>
      </c>
      <c r="J23" s="96">
        <f>ROUND(+$E23/12,0)</f>
        <v/>
      </c>
      <c r="K23" s="96">
        <f>ROUND(+$E23/12,0)</f>
        <v/>
      </c>
      <c r="L23" s="96">
        <f>ROUND(+$E23/12,0)</f>
        <v/>
      </c>
      <c r="M23" s="96">
        <f>ROUND(+$E23/12,0)</f>
        <v/>
      </c>
      <c r="N23" s="96">
        <f>ROUND(+$E23/12,0)</f>
        <v/>
      </c>
      <c r="O23" s="96">
        <f>ROUND(+$E23/12,0)</f>
        <v/>
      </c>
      <c r="P23" s="96">
        <f>ROUND(+$E23/12,0)</f>
        <v/>
      </c>
      <c r="Q23" s="96">
        <f>ROUND(+$E23/12,0)</f>
        <v/>
      </c>
    </row>
    <row r="24">
      <c r="A24" s="18" t="inlineStr">
        <is>
          <t>INF0023</t>
        </is>
      </c>
      <c r="B24" s="19" t="inlineStr">
        <is>
          <t>Harsh Saliya</t>
        </is>
      </c>
      <c r="C24">
        <f>IF(D24&lt;1275000,"No","Yes")</f>
        <v/>
      </c>
      <c r="D24" s="96">
        <f>+'Salary sheet'!K25</f>
        <v/>
      </c>
      <c r="E24" s="96">
        <f t="array" ref="E24">ROUNDUP(IF(D24&lt;=1275000, 0, SUMPRODUCT((D24-75000&gt;{0,400000,800000,1200000,1600000,2000000,2400000})*(D24-75000-{0,400000,800000,1200000,1600000,2000000,2400000}), {0,0.05,0.05,0.05,0.05,0.05,0.05}) * 1.04),0)</f>
        <v/>
      </c>
      <c r="F24" s="96">
        <f>ROUND(+$E24/12,0)</f>
        <v/>
      </c>
      <c r="G24" s="96">
        <f>ROUND(+$E24/12,0)</f>
        <v/>
      </c>
      <c r="H24" s="96">
        <f>ROUND(+$E24/12,0)</f>
        <v/>
      </c>
      <c r="I24" s="96">
        <f>ROUND(+$E24/12,0)</f>
        <v/>
      </c>
      <c r="J24" s="96">
        <f>ROUND(+$E24/12,0)</f>
        <v/>
      </c>
      <c r="K24" s="96">
        <f>ROUND(+$E24/12,0)</f>
        <v/>
      </c>
      <c r="L24" s="96">
        <f>ROUND(+$E24/12,0)</f>
        <v/>
      </c>
      <c r="M24" s="96">
        <f>ROUND(+$E24/12,0)</f>
        <v/>
      </c>
      <c r="N24" s="96">
        <f>ROUND(+$E24/12,0)</f>
        <v/>
      </c>
      <c r="O24" s="96">
        <f>ROUND(+$E24/12,0)</f>
        <v/>
      </c>
      <c r="P24" s="96">
        <f>ROUND(+$E24/12,0)</f>
        <v/>
      </c>
      <c r="Q24" s="96">
        <f>ROUND(+$E24/12,0)</f>
        <v/>
      </c>
    </row>
    <row r="25">
      <c r="A25" s="18" t="inlineStr">
        <is>
          <t>INF0024</t>
        </is>
      </c>
      <c r="B25" s="19" t="inlineStr">
        <is>
          <t>Pankaj kumar</t>
        </is>
      </c>
      <c r="C25" t="inlineStr">
        <is>
          <t>No</t>
        </is>
      </c>
      <c r="D25" s="96">
        <f>+'Salary sheet'!K26</f>
        <v/>
      </c>
      <c r="E25" s="96">
        <f t="array" ref="E25">ROUNDUP(IF(D25&lt;=1275000, 0, SUMPRODUCT((D25-75000&gt;{0,400000,800000,1200000,1600000,2000000,2400000})*(D25-75000-{0,400000,800000,1200000,1600000,2000000,2400000}), {0,0.05,0.05,0.05,0.05,0.05,0.05}) * 1.04),0)</f>
        <v/>
      </c>
      <c r="F25" s="96" t="n">
        <v>0</v>
      </c>
      <c r="G25" s="96" t="n">
        <v>0</v>
      </c>
      <c r="H25" s="96" t="n">
        <v>0</v>
      </c>
      <c r="I25" s="96">
        <f>ROUND((+$E25/12)+($S$25/9),0)</f>
        <v/>
      </c>
      <c r="J25" s="96">
        <f>ROUND((+$E25/12)+($S$25/9),0)</f>
        <v/>
      </c>
      <c r="K25" s="96">
        <f>ROUND((+$E25/12)+($S$25/9),0)</f>
        <v/>
      </c>
      <c r="L25" s="96">
        <f>ROUND((+$E25/12)+($S$25/9),0)</f>
        <v/>
      </c>
      <c r="M25" s="96">
        <f>ROUND((+$E25/12)+($S$25/9),0)</f>
        <v/>
      </c>
      <c r="N25" s="96">
        <f>ROUND((+$E25/12)+($S$25/9),0)</f>
        <v/>
      </c>
      <c r="O25" s="96">
        <f>ROUND((+$E25/12)+($S$25/9),0)</f>
        <v/>
      </c>
      <c r="P25" s="96" t="n">
        <v>0</v>
      </c>
      <c r="Q25" s="96">
        <f>ROUND((+$E25/12)+($S$25/9),0)</f>
        <v/>
      </c>
      <c r="S25" s="16" t="n"/>
    </row>
    <row r="26">
      <c r="A26" s="18" t="inlineStr">
        <is>
          <t>INF0025</t>
        </is>
      </c>
      <c r="B26" s="18" t="inlineStr">
        <is>
          <t>Antama</t>
        </is>
      </c>
      <c r="C26">
        <f>IF(D26&lt;1275000,"No","Yes")</f>
        <v/>
      </c>
      <c r="D26" s="96">
        <f>+'Salary sheet'!K27</f>
        <v/>
      </c>
      <c r="E26" s="96">
        <f t="array" ref="E26">ROUNDUP(IF(D26&lt;=1275000, 0, SUMPRODUCT((D26-75000&gt;{0,400000,800000,1200000,1600000,2000000,2400000})*(D26-75000-{0,400000,800000,1200000,1600000,2000000,2400000}), {0,0.05,0.05,0.05,0.05,0.05,0.05}) * 1.04),0)</f>
        <v/>
      </c>
      <c r="F26" s="96">
        <f>ROUND(+$E26/12,0)</f>
        <v/>
      </c>
      <c r="G26" s="96">
        <f>ROUND(+$E26/12,0)</f>
        <v/>
      </c>
      <c r="H26" s="96">
        <f>ROUND(+$E26/12,0)</f>
        <v/>
      </c>
      <c r="I26" s="96">
        <f>ROUND(+$E26/12,0)</f>
        <v/>
      </c>
      <c r="J26" s="96">
        <f>ROUND(+$E26/12,0)</f>
        <v/>
      </c>
      <c r="K26" s="96">
        <f>ROUND(+$E26/12,0)</f>
        <v/>
      </c>
      <c r="L26" s="96">
        <f>ROUND(+$E26/12,0)</f>
        <v/>
      </c>
      <c r="M26" s="96">
        <f>ROUND(+$E26/12,0)</f>
        <v/>
      </c>
      <c r="N26" s="96">
        <f>ROUND(+$E26/12,0)</f>
        <v/>
      </c>
      <c r="O26" s="96">
        <f>ROUND(+$E26/12,0)</f>
        <v/>
      </c>
      <c r="P26" s="96">
        <f>ROUND(+$E26/12,0)</f>
        <v/>
      </c>
      <c r="Q26" s="96">
        <f>ROUND(+$E26/12,0)</f>
        <v/>
      </c>
    </row>
    <row r="27">
      <c r="A27" s="18" t="inlineStr">
        <is>
          <t>INF0026</t>
        </is>
      </c>
      <c r="B27" s="95" t="inlineStr">
        <is>
          <t>Dhruva Pathak</t>
        </is>
      </c>
      <c r="C27">
        <f>IF(D27&lt;1275000,"No","Yes")</f>
        <v/>
      </c>
      <c r="D27" s="96">
        <f>+'Salary sheet'!K28</f>
        <v/>
      </c>
      <c r="E27" s="96">
        <f t="array" ref="E27">ROUNDUP(IF(D27&lt;=1275000, 0, SUMPRODUCT((D27-75000&gt;{0,400000,800000,1200000,1600000,2000000,2400000})*(D27-75000-{0,400000,800000,1200000,1600000,2000000,2400000}), {0,0.05,0.05,0.05,0.05,0.05,0.05}) * 1.04),0)</f>
        <v/>
      </c>
      <c r="F27" s="96">
        <f>ROUND(+$E27/12,0)</f>
        <v/>
      </c>
      <c r="G27" s="96">
        <f>ROUND(+$E27/12,0)</f>
        <v/>
      </c>
      <c r="H27" s="96">
        <f>ROUND(+$E27/12,0)</f>
        <v/>
      </c>
      <c r="I27" s="96">
        <f>ROUND(+$E27/12,0)</f>
        <v/>
      </c>
      <c r="J27" s="96">
        <f>ROUND(+$E27/12,0)</f>
        <v/>
      </c>
      <c r="K27" s="96">
        <f>ROUND(+$E27/12,0)</f>
        <v/>
      </c>
      <c r="L27" s="96">
        <f>ROUND(+$E27/12,0)</f>
        <v/>
      </c>
      <c r="M27" s="96">
        <f>ROUND(+$E27/12,0)</f>
        <v/>
      </c>
      <c r="N27" s="96">
        <f>ROUND(+$E27/12,0)</f>
        <v/>
      </c>
      <c r="O27" s="96">
        <f>ROUND(+$E27/12,0)</f>
        <v/>
      </c>
      <c r="P27" s="96">
        <f>ROUND(+$E27/12,0)</f>
        <v/>
      </c>
      <c r="Q27" s="96">
        <f>ROUND(+$E27/12,0)</f>
        <v/>
      </c>
    </row>
    <row r="28">
      <c r="A28" s="18" t="inlineStr">
        <is>
          <t>INF0027</t>
        </is>
      </c>
      <c r="B28" s="19" t="inlineStr">
        <is>
          <t>Gulam Waris</t>
        </is>
      </c>
      <c r="C28">
        <f>IF(D28&lt;1275000,"No","Yes")</f>
        <v/>
      </c>
      <c r="D28" s="96">
        <f>+'Salary sheet'!K29</f>
        <v/>
      </c>
      <c r="E28" s="96">
        <f t="array" ref="E28">ROUNDUP(IF(D28&lt;=1275000, 0, SUMPRODUCT((D28-75000&gt;{0,400000,800000,1200000,1600000,2000000,2400000})*(D28-75000-{0,400000,800000,1200000,1600000,2000000,2400000}), {0,0.05,0.05,0.05,0.05,0.05,0.05}) * 1.04),0)</f>
        <v/>
      </c>
      <c r="F28" s="96">
        <f>ROUND(+$E28/12,0)</f>
        <v/>
      </c>
      <c r="G28" s="96">
        <f>ROUND(+$E28/12,0)</f>
        <v/>
      </c>
      <c r="H28" s="96">
        <f>ROUND(+$E28/12,0)</f>
        <v/>
      </c>
      <c r="I28" s="96">
        <f>ROUND(+$E28/12,0)</f>
        <v/>
      </c>
      <c r="J28" s="96">
        <f>ROUND(+$E28/12,0)</f>
        <v/>
      </c>
      <c r="K28" s="96">
        <f>ROUND(+$E28/12,0)</f>
        <v/>
      </c>
      <c r="L28" s="96">
        <f>ROUND(+$E28/12,0)</f>
        <v/>
      </c>
      <c r="M28" s="96">
        <f>ROUND(+$E28/12,0)</f>
        <v/>
      </c>
      <c r="N28" s="96">
        <f>ROUND(+$E28/12,0)</f>
        <v/>
      </c>
      <c r="O28" s="96">
        <f>ROUND(+$E28/12,0)</f>
        <v/>
      </c>
      <c r="P28" s="96">
        <f>ROUND(+$E28/12,0)</f>
        <v/>
      </c>
      <c r="Q28" s="96">
        <f>ROUND(+$E28/12,0)</f>
        <v/>
      </c>
    </row>
    <row r="29">
      <c r="A29" s="18" t="inlineStr">
        <is>
          <t>INF0029</t>
        </is>
      </c>
      <c r="B29" s="18" t="inlineStr">
        <is>
          <t>Shankar Kumar Das</t>
        </is>
      </c>
      <c r="C29">
        <f>IF(D29&lt;1275000,"No","Yes")</f>
        <v/>
      </c>
      <c r="D29" s="96">
        <f>+'Salary sheet'!K30</f>
        <v/>
      </c>
      <c r="E29" s="96">
        <f t="array" ref="E29">ROUNDUP(IF(D29&lt;=1275000, 0, SUMPRODUCT((D29-75000&gt;{0,400000,800000,1200000,1600000,2000000,2400000})*(D29-75000-{0,400000,800000,1200000,1600000,2000000,2400000}), {0,0.05,0.05,0.05,0.05,0.05,0.05}) * 1.04),0)</f>
        <v/>
      </c>
      <c r="F29" s="96">
        <f>ROUND(+$E29/12,0)</f>
        <v/>
      </c>
      <c r="G29" s="96">
        <f>ROUND(+$E29/12,0)</f>
        <v/>
      </c>
      <c r="H29" s="96">
        <f>ROUND(+$E29/12,0)</f>
        <v/>
      </c>
      <c r="I29" s="96">
        <f>ROUND(+$E29/12,0)</f>
        <v/>
      </c>
      <c r="J29" s="96">
        <f>ROUND(+$E29/12,0)</f>
        <v/>
      </c>
      <c r="K29" s="96">
        <f>ROUND(+$E29/12,0)</f>
        <v/>
      </c>
      <c r="L29" s="96">
        <f>ROUND(+$E29/12,0)</f>
        <v/>
      </c>
      <c r="M29" s="96">
        <f>ROUND(+$E29/12,0)</f>
        <v/>
      </c>
      <c r="N29" s="96">
        <f>ROUND(+$E29/12,0)</f>
        <v/>
      </c>
      <c r="O29" s="96">
        <f>ROUND(+$E29/12,0)</f>
        <v/>
      </c>
      <c r="P29" s="96">
        <f>ROUND(+$E29/12,0)</f>
        <v/>
      </c>
      <c r="Q29" s="96">
        <f>ROUND(+$E29/12,0)</f>
        <v/>
      </c>
    </row>
    <row r="30">
      <c r="A30" s="76" t="inlineStr">
        <is>
          <t>INF0028</t>
        </is>
      </c>
      <c r="B30" s="77" t="inlineStr">
        <is>
          <t>Ashutosh Kumar Pandey</t>
        </is>
      </c>
      <c r="C30" t="inlineStr">
        <is>
          <t>No</t>
        </is>
      </c>
      <c r="D30" s="96">
        <f>+'Salary sheet'!K31</f>
        <v/>
      </c>
      <c r="E30" s="96">
        <f t="array" ref="E30">ROUNDUP(IF(D30&lt;=1275000, 0, SUMPRODUCT((D30-75000&gt;{0,400000,800000,1200000,1600000,2000000,2400000})*(D30-75000-{0,400000,800000,1200000,1600000,2000000,2400000}), {0,0.05,0.05,0.05,0.05,0.05,0.05}) * 1.04),0)</f>
        <v/>
      </c>
      <c r="F30" s="96" t="n">
        <v>0</v>
      </c>
      <c r="G30" s="96" t="n">
        <v>0</v>
      </c>
      <c r="H30" s="96" t="n">
        <v>0</v>
      </c>
      <c r="I30" s="96">
        <f>ROUND((+$E30/12)+($S$30/9),0)</f>
        <v/>
      </c>
      <c r="J30" s="96">
        <f>ROUND((+$E30/12)+($S$30/9),0)</f>
        <v/>
      </c>
      <c r="K30" s="96">
        <f>ROUND((+$E30/12)+($S$30/9),0)</f>
        <v/>
      </c>
      <c r="L30" s="96">
        <f>ROUND((+$E30/12)+($S$30/9),0)</f>
        <v/>
      </c>
      <c r="M30" s="96">
        <f>ROUND((+$E30/12)+($S$30/9),0)</f>
        <v/>
      </c>
      <c r="N30" s="96">
        <f>ROUND((+$E30/12)+($S$30/9),0)</f>
        <v/>
      </c>
      <c r="O30" s="96">
        <f>ROUND((+$E30/12)+($S$30/9),0)</f>
        <v/>
      </c>
      <c r="P30" s="96">
        <f>ROUND((+$E30/12)+($S$30/9),0)</f>
        <v/>
      </c>
      <c r="Q30" s="96">
        <f>ROUND((+$E30/12)+($S$30/9),0)</f>
        <v/>
      </c>
      <c r="S30" s="16" t="n"/>
    </row>
    <row r="31">
      <c r="A31" s="18" t="inlineStr">
        <is>
          <t>INF0030</t>
        </is>
      </c>
      <c r="B31" s="95" t="inlineStr">
        <is>
          <t>Hari Shankar Mishra</t>
        </is>
      </c>
      <c r="C31">
        <f>IF(D31&lt;1275000,"No","Yes")</f>
        <v/>
      </c>
      <c r="D31" s="96">
        <f>+'Salary sheet'!K32</f>
        <v/>
      </c>
      <c r="E31" s="96">
        <f t="array" ref="E31">ROUNDUP(IF(D31&lt;=1275000, 0, SUMPRODUCT((D31-75000&gt;{0,400000,800000,1200000,1600000,2000000,2400000})*(D31-75000-{0,400000,800000,1200000,1600000,2000000,2400000}), {0,0.05,0.05,0.05,0.05,0.05,0.05}) * 1.04),0)</f>
        <v/>
      </c>
      <c r="F31" s="96">
        <f>ROUND(+$E31/12,0)</f>
        <v/>
      </c>
      <c r="G31" s="96">
        <f>ROUND(+$E31/12,0)</f>
        <v/>
      </c>
      <c r="H31" s="96">
        <f>ROUND(+$E31/12,0)</f>
        <v/>
      </c>
      <c r="I31" s="96">
        <f>ROUND(+$E31/12,0)</f>
        <v/>
      </c>
      <c r="J31" s="96">
        <f>ROUND(+$E31/12,0)</f>
        <v/>
      </c>
      <c r="K31" s="96">
        <f>ROUND(+$E31/12,0)</f>
        <v/>
      </c>
      <c r="L31" s="96">
        <f>ROUND(+$E31/12,0)</f>
        <v/>
      </c>
      <c r="M31" s="96">
        <f>ROUND(+$E31/12,0)</f>
        <v/>
      </c>
      <c r="N31" s="96">
        <f>ROUND(+$E31/12,0)</f>
        <v/>
      </c>
      <c r="O31" s="96">
        <f>ROUND(+$E31/12,0)</f>
        <v/>
      </c>
      <c r="P31" s="96">
        <f>ROUND(+$E31/12,0)</f>
        <v/>
      </c>
      <c r="Q31" s="96">
        <f>ROUND(+$E31/12,0)</f>
        <v/>
      </c>
    </row>
    <row r="32">
      <c r="A32" s="18" t="inlineStr">
        <is>
          <t>INF0031</t>
        </is>
      </c>
      <c r="B32" s="93" t="inlineStr">
        <is>
          <t>SUDHANSHU KUMAR RATURI</t>
        </is>
      </c>
      <c r="C32">
        <f>IF(D32&lt;1275000,"No","Yes")</f>
        <v/>
      </c>
      <c r="D32" s="96">
        <f>+'Salary sheet'!K33</f>
        <v/>
      </c>
      <c r="E32" s="96">
        <f t="array" ref="E32">ROUNDUP(IF(D32&lt;=1275000, 0, SUMPRODUCT((D32-75000&gt;{0,400000,800000,1200000,1600000,2000000,2400000})*(D32-75000-{0,400000,800000,1200000,1600000,2000000,2400000}), {0,0.05,0.05,0.05,0.05,0.05,0.05}) * 1.04),0)</f>
        <v/>
      </c>
      <c r="F32" s="96">
        <f>ROUND(+$E32/12,0)</f>
        <v/>
      </c>
      <c r="G32" s="96">
        <f>ROUND(+$E32/12,0)</f>
        <v/>
      </c>
      <c r="H32" s="96">
        <f>ROUND(+$E32/12,0)</f>
        <v/>
      </c>
      <c r="I32" s="96">
        <f>ROUND(+$E32/12,0)</f>
        <v/>
      </c>
      <c r="J32" s="96">
        <f>ROUND(+$E32/12,0)</f>
        <v/>
      </c>
      <c r="K32" s="96">
        <f>ROUND(+$E32/12,0)</f>
        <v/>
      </c>
      <c r="L32" s="96">
        <f>ROUND(+$E32/12,0)</f>
        <v/>
      </c>
      <c r="M32" s="96">
        <f>ROUND(+$E32/12,0)</f>
        <v/>
      </c>
      <c r="N32" s="96">
        <f>ROUND(+$E32/12,0)</f>
        <v/>
      </c>
      <c r="O32" s="96">
        <f>ROUND(+$E32/12,0)</f>
        <v/>
      </c>
      <c r="P32" s="96">
        <f>ROUND(+$E32/12,0)</f>
        <v/>
      </c>
      <c r="Q32" s="96">
        <f>ROUND(+$E32/12,0)</f>
        <v/>
      </c>
    </row>
    <row r="33">
      <c r="A33" s="18" t="inlineStr">
        <is>
          <t>INF0032</t>
        </is>
      </c>
      <c r="B33" s="19" t="inlineStr">
        <is>
          <t>Shivam Vashishtha</t>
        </is>
      </c>
      <c r="C33">
        <f>IF(D33&lt;1275000,"No","Yes")</f>
        <v/>
      </c>
      <c r="D33" s="96">
        <f>+'Salary sheet'!K34</f>
        <v/>
      </c>
      <c r="E33" s="96">
        <f t="array" ref="E33">ROUNDUP(IF(D33&lt;=1275000, 0, SUMPRODUCT((D33-75000&gt;{0,400000,800000,1200000,1600000,2000000,2400000})*(D33-75000-{0,400000,800000,1200000,1600000,2000000,2400000}), {0,0.05,0.05,0.05,0.05,0.05,0.05}) * 1.04),0)</f>
        <v/>
      </c>
      <c r="F33" s="96">
        <f>ROUND(+$E33/12,0)</f>
        <v/>
      </c>
      <c r="G33" s="96">
        <f>ROUND(+$E33/12,0)</f>
        <v/>
      </c>
      <c r="H33" s="96">
        <f>ROUND(+$E33/12,0)</f>
        <v/>
      </c>
      <c r="I33" s="96">
        <f>ROUND(+$E33/12,0)</f>
        <v/>
      </c>
      <c r="J33" s="96">
        <f>ROUND(+$E33/12,0)</f>
        <v/>
      </c>
      <c r="K33" s="96">
        <f>ROUND(+$E33/12,0)</f>
        <v/>
      </c>
      <c r="L33" s="96">
        <f>ROUND(+$E33/12,0)</f>
        <v/>
      </c>
      <c r="M33" s="96">
        <f>ROUND(+$E33/12,0)</f>
        <v/>
      </c>
      <c r="N33" s="96">
        <f>ROUND(+$E33/12,0)</f>
        <v/>
      </c>
      <c r="O33" s="96">
        <f>ROUND(+$E33/12,0)</f>
        <v/>
      </c>
      <c r="P33" s="96">
        <f>ROUND(+$E33/12,0)</f>
        <v/>
      </c>
      <c r="Q33" s="96">
        <f>ROUND(+$E33/12,0)</f>
        <v/>
      </c>
    </row>
    <row r="34">
      <c r="A34" s="18" t="inlineStr">
        <is>
          <t>INF0033</t>
        </is>
      </c>
      <c r="B34" s="19" t="inlineStr">
        <is>
          <t>Shivam Singh</t>
        </is>
      </c>
      <c r="C34">
        <f>IF(D34&lt;1275000,"No","Yes")</f>
        <v/>
      </c>
      <c r="D34" s="96">
        <f>+'Salary sheet'!K35</f>
        <v/>
      </c>
      <c r="E34" s="96">
        <f t="array" ref="E34">ROUNDUP(IF(D34&lt;=1275000, 0, SUMPRODUCT((D34-75000&gt;{0,400000,800000,1200000,1600000,2000000,2400000})*(D34-75000-{0,400000,800000,1200000,1600000,2000000,2400000}), {0,0.05,0.05,0.05,0.05,0.05,0.05}) * 1.04),0)</f>
        <v/>
      </c>
      <c r="F34" s="96" t="n">
        <v>0</v>
      </c>
      <c r="G34" s="96" t="n">
        <v>0</v>
      </c>
      <c r="H34" s="96" t="n">
        <v>0</v>
      </c>
      <c r="I34" s="96">
        <f>ROUND(+$E34/9,0)</f>
        <v/>
      </c>
      <c r="J34" s="96">
        <f>ROUND(+$E34/9,0)</f>
        <v/>
      </c>
      <c r="K34" s="96">
        <f>ROUND(+$E34/9,0)</f>
        <v/>
      </c>
      <c r="L34" s="96">
        <f>ROUND(+$E34/9,0)</f>
        <v/>
      </c>
      <c r="M34" s="96">
        <f>ROUND(+$E34/9,0)</f>
        <v/>
      </c>
      <c r="N34" s="96">
        <f>ROUND(+$E34/9,0)</f>
        <v/>
      </c>
      <c r="O34" s="96">
        <f>ROUND(+$E34/9,0)</f>
        <v/>
      </c>
      <c r="P34" s="96">
        <f>ROUND(+$E34/9,0)</f>
        <v/>
      </c>
      <c r="Q34" s="96">
        <f>ROUND(+$E34/9,0)</f>
        <v/>
      </c>
    </row>
    <row r="35">
      <c r="A35" s="18" t="inlineStr">
        <is>
          <t>INF0034</t>
        </is>
      </c>
      <c r="B35" s="19" t="inlineStr">
        <is>
          <t>Vivek Kaul</t>
        </is>
      </c>
      <c r="C35">
        <f>IF(D35&lt;1275000,"No","Yes")</f>
        <v/>
      </c>
      <c r="D35" s="96">
        <f>+'Salary sheet'!K36</f>
        <v/>
      </c>
      <c r="E35" s="96">
        <f t="array" ref="E35">ROUNDUP(IF(D35&lt;=1275000, 0, SUMPRODUCT((D35-75000&gt;{0,400000,800000,1200000,1600000,2000000,2400000})*(D35-75000-{0,400000,800000,1200000,1600000,2000000,2400000}), {0,0.05,0.05,0.05,0.05,0.05,0.05}) * 1.04),0)</f>
        <v/>
      </c>
      <c r="F35" s="96" t="n">
        <v>0</v>
      </c>
      <c r="G35" s="96" t="n">
        <v>0</v>
      </c>
      <c r="H35" s="96" t="n">
        <v>0</v>
      </c>
      <c r="I35" s="96">
        <f>ROUND(+$E35/9,0)</f>
        <v/>
      </c>
      <c r="J35" s="96">
        <f>ROUND(+$E35/9,0)</f>
        <v/>
      </c>
      <c r="K35" s="96">
        <f>ROUND(+$E35/9,0)</f>
        <v/>
      </c>
      <c r="L35" s="96">
        <f>ROUND(+$E35/9,0)</f>
        <v/>
      </c>
      <c r="M35" s="96">
        <f>ROUND(+$E35/9,0)</f>
        <v/>
      </c>
      <c r="N35" s="96">
        <f>ROUND(+$E35/9,0)</f>
        <v/>
      </c>
      <c r="O35" s="96">
        <f>ROUND(+$E35/9,0)</f>
        <v/>
      </c>
      <c r="P35" s="96">
        <f>ROUND(+$E35/9,0)</f>
        <v/>
      </c>
      <c r="Q35" s="96">
        <f>ROUND(+$E35/9,0)</f>
        <v/>
      </c>
    </row>
    <row r="36">
      <c r="A36" s="18" t="inlineStr">
        <is>
          <t>INF0035</t>
        </is>
      </c>
      <c r="B36" s="19" t="inlineStr">
        <is>
          <t>Himanshu singh</t>
        </is>
      </c>
      <c r="C36">
        <f>IF(D36&lt;1275000,"No","Yes")</f>
        <v/>
      </c>
      <c r="D36" s="96">
        <f>+'Salary sheet'!K37</f>
        <v/>
      </c>
      <c r="E36" s="96">
        <f t="array" ref="E36">ROUNDUP(IF(D36&lt;=1275000, 0, SUMPRODUCT((D36-75000&gt;{0,400000,800000,1200000,1600000,2000000,2400000})*(D36-75000-{0,400000,800000,1200000,1600000,2000000,2400000}), {0,0.05,0.05,0.05,0.05,0.05,0.05}) * 1.04),0)</f>
        <v/>
      </c>
      <c r="F36" s="96" t="n">
        <v>0</v>
      </c>
      <c r="G36" s="96" t="n">
        <v>0</v>
      </c>
      <c r="H36" s="96" t="n">
        <v>0</v>
      </c>
      <c r="I36" s="96">
        <f>ROUND(+$E36/9,0)</f>
        <v/>
      </c>
      <c r="J36" s="96">
        <f>ROUND(+$E36/9,0)</f>
        <v/>
      </c>
      <c r="K36" s="96">
        <f>ROUND(+$E36/9,0)</f>
        <v/>
      </c>
      <c r="L36" s="96">
        <f>ROUND(+$E36/9,0)</f>
        <v/>
      </c>
      <c r="M36" s="96">
        <f>ROUND(+$E36/9,0)</f>
        <v/>
      </c>
      <c r="N36" s="96">
        <f>ROUND(+$E36/9,0)</f>
        <v/>
      </c>
      <c r="O36" s="96">
        <f>ROUND(+$E36/9,0)</f>
        <v/>
      </c>
      <c r="P36" s="96">
        <f>ROUND(+$E36/9,0)</f>
        <v/>
      </c>
      <c r="Q36" s="96">
        <f>ROUND(+$E36/9,0)</f>
        <v/>
      </c>
    </row>
    <row r="37">
      <c r="A37" s="18" t="inlineStr">
        <is>
          <t>INF0036</t>
        </is>
      </c>
      <c r="B37" s="19" t="inlineStr">
        <is>
          <t>Gaurav Nagar</t>
        </is>
      </c>
      <c r="C37">
        <f>IF(D37&lt;1275000,"No","Yes")</f>
        <v/>
      </c>
      <c r="D37" s="96">
        <f>+'Salary sheet'!K38</f>
        <v/>
      </c>
      <c r="E37" s="96">
        <f t="array" ref="E37">ROUNDUP(IF(D37&lt;=1275000, 0, SUMPRODUCT((D37-75000&gt;{0,400000,800000,1200000,1600000,2000000,2400000})*(D37-75000-{0,400000,800000,1200000,1600000,2000000,2400000}), {0,0.05,0.05,0.05,0.05,0.05,0.05}) * 1.04),0)</f>
        <v/>
      </c>
      <c r="F37" s="96" t="n">
        <v>0</v>
      </c>
      <c r="G37" s="96" t="n">
        <v>0</v>
      </c>
      <c r="H37" s="96" t="n">
        <v>0</v>
      </c>
      <c r="I37" s="96">
        <f>+$E37/9</f>
        <v/>
      </c>
      <c r="J37" s="96">
        <f>+$E37/9</f>
        <v/>
      </c>
      <c r="K37" s="96">
        <f>+$E37/9</f>
        <v/>
      </c>
      <c r="L37" s="96">
        <f>+$E37/9</f>
        <v/>
      </c>
      <c r="M37" s="96">
        <f>+$E37/9</f>
        <v/>
      </c>
      <c r="N37" s="96">
        <f>+$E37/9</f>
        <v/>
      </c>
      <c r="O37" s="96">
        <f>+$E37/9</f>
        <v/>
      </c>
      <c r="P37" s="96">
        <f>+$E37/9</f>
        <v/>
      </c>
      <c r="Q37" s="96">
        <f>+$E37/9</f>
        <v/>
      </c>
    </row>
  </sheetData>
  <autoFilter ref="A1:Q37"/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3">
    <outlinePr summaryBelow="1" summaryRight="1"/>
    <pageSetUpPr/>
  </sheetPr>
  <dimension ref="A1:V498"/>
  <sheetViews>
    <sheetView topLeftCell="A16" zoomScaleNormal="100" workbookViewId="0">
      <selection activeCell="A37" sqref="A37"/>
    </sheetView>
  </sheetViews>
  <sheetFormatPr baseColWidth="8" defaultColWidth="8.54296875" defaultRowHeight="14.5"/>
  <cols>
    <col width="11.1796875" bestFit="1" customWidth="1" style="103" min="1" max="1"/>
    <col width="24.90625" customWidth="1" style="103" min="2" max="2"/>
    <col width="21.08984375" customWidth="1" style="103" min="3" max="3"/>
    <col width="29.54296875" customWidth="1" style="103" min="4" max="4"/>
    <col width="9.1796875" bestFit="1" customWidth="1" style="103" min="5" max="5"/>
    <col width="9.453125" bestFit="1" customWidth="1" style="103" min="6" max="6"/>
    <col width="16.1796875" bestFit="1" customWidth="1" style="103" min="7" max="7"/>
    <col width="11.81640625" customWidth="1" style="103" min="8" max="8"/>
    <col width="22.1796875" customWidth="1" style="103" min="9" max="9"/>
    <col width="11.26953125" customWidth="1" style="103" min="10" max="10"/>
    <col width="11.7265625" bestFit="1" customWidth="1" style="103" min="11" max="11"/>
    <col width="16.453125" customWidth="1" style="103" min="12" max="12"/>
    <col width="15.453125" customWidth="1" style="103" min="13" max="13"/>
    <col width="11.6328125" customWidth="1" style="103" min="14" max="14"/>
    <col width="16.1796875" customWidth="1" style="103" min="15" max="15"/>
    <col width="26.453125" customWidth="1" style="103" min="16" max="16"/>
    <col width="8.54296875" bestFit="1" customWidth="1" style="103" min="17" max="17"/>
    <col width="8.54296875" customWidth="1" style="103" min="18" max="18"/>
  </cols>
  <sheetData>
    <row r="1" ht="14.25" customHeight="1" s="103">
      <c r="A1" s="22" t="inlineStr">
        <is>
          <t>EMP CODE</t>
        </is>
      </c>
      <c r="B1" s="22" t="inlineStr">
        <is>
          <t>EMP NAME</t>
        </is>
      </c>
      <c r="C1" s="22" t="inlineStr">
        <is>
          <t>FATHER'S NAME</t>
        </is>
      </c>
      <c r="D1" s="22" t="inlineStr">
        <is>
          <t>EMAIL</t>
        </is>
      </c>
      <c r="E1" s="23" t="inlineStr">
        <is>
          <t>DOB</t>
        </is>
      </c>
      <c r="F1" s="23" t="inlineStr">
        <is>
          <t>GENDER</t>
        </is>
      </c>
      <c r="G1" s="23" t="inlineStr">
        <is>
          <t>DATE OF JOINING</t>
        </is>
      </c>
      <c r="H1" s="24" t="inlineStr">
        <is>
          <t>UAN</t>
        </is>
      </c>
      <c r="I1" s="24" t="inlineStr">
        <is>
          <t>PF Account number</t>
        </is>
      </c>
      <c r="J1" s="22" t="inlineStr">
        <is>
          <t>PAN</t>
        </is>
      </c>
      <c r="K1" s="22" t="inlineStr">
        <is>
          <t>BANKCODE</t>
        </is>
      </c>
      <c r="L1" s="22" t="inlineStr">
        <is>
          <t>BANK NAME</t>
        </is>
      </c>
      <c r="M1" s="22" t="inlineStr">
        <is>
          <t>BANK ACCOUNT</t>
        </is>
      </c>
      <c r="N1" s="22" t="inlineStr">
        <is>
          <t>Bank IFSC</t>
        </is>
      </c>
      <c r="O1" s="22" t="inlineStr">
        <is>
          <t>DEPARTMENT</t>
        </is>
      </c>
      <c r="P1" s="22" t="inlineStr">
        <is>
          <t>DESIGNATION</t>
        </is>
      </c>
      <c r="Q1" s="22" t="inlineStr">
        <is>
          <t>GROUP</t>
        </is>
      </c>
      <c r="R1" s="90" t="n"/>
      <c r="V1" t="inlineStr">
        <is>
          <t>Arvind ji Wife</t>
        </is>
      </c>
    </row>
    <row r="2" ht="14.25" customHeight="1" s="103">
      <c r="A2" s="18" t="inlineStr">
        <is>
          <t>INF0001</t>
        </is>
      </c>
      <c r="B2" s="18" t="inlineStr">
        <is>
          <t>Arun Awasthi</t>
        </is>
      </c>
      <c r="C2" s="64" t="inlineStr">
        <is>
          <t>xxx</t>
        </is>
      </c>
      <c r="D2" s="64" t="inlineStr">
        <is>
          <t>xxx</t>
        </is>
      </c>
      <c r="E2" s="65" t="n"/>
      <c r="F2" s="18" t="inlineStr">
        <is>
          <t>Male</t>
        </is>
      </c>
      <c r="G2" s="57" t="n">
        <v>42736</v>
      </c>
      <c r="H2" s="18" t="inlineStr">
        <is>
          <t>xxx</t>
        </is>
      </c>
      <c r="I2" s="64" t="n"/>
      <c r="J2" s="64" t="n"/>
      <c r="K2" s="64" t="inlineStr">
        <is>
          <t>-</t>
        </is>
      </c>
      <c r="L2" s="64" t="inlineStr">
        <is>
          <t>xxxx</t>
        </is>
      </c>
      <c r="M2" s="64" t="inlineStr">
        <is>
          <t>xxx</t>
        </is>
      </c>
      <c r="N2" s="64" t="inlineStr">
        <is>
          <t>xxx</t>
        </is>
      </c>
      <c r="O2" s="64" t="inlineStr">
        <is>
          <t>Dummy</t>
        </is>
      </c>
      <c r="P2" s="66" t="inlineStr">
        <is>
          <t>Manger</t>
        </is>
      </c>
      <c r="Q2" s="66" t="inlineStr">
        <is>
          <t>NA</t>
        </is>
      </c>
      <c r="R2" s="92" t="n"/>
      <c r="S2">
        <f>IFERROR(VLOOKUP(B2,'Salary sheet'!$B$3:$N$500,5,0),"")</f>
        <v/>
      </c>
    </row>
    <row r="3" ht="14.25" customHeight="1" s="103">
      <c r="A3" s="18" t="inlineStr">
        <is>
          <t>INF0002</t>
        </is>
      </c>
      <c r="B3" s="18" t="inlineStr">
        <is>
          <t>Anjita</t>
        </is>
      </c>
      <c r="C3" s="64" t="inlineStr">
        <is>
          <t>xxx</t>
        </is>
      </c>
      <c r="D3" s="64" t="inlineStr">
        <is>
          <t>xxx</t>
        </is>
      </c>
      <c r="E3" s="65" t="n"/>
      <c r="F3" s="18" t="inlineStr">
        <is>
          <t>Female</t>
        </is>
      </c>
      <c r="G3" s="57" t="n">
        <v>42736</v>
      </c>
      <c r="H3" s="18" t="inlineStr">
        <is>
          <t>xxx</t>
        </is>
      </c>
      <c r="I3" s="64" t="n"/>
      <c r="J3" s="64" t="n"/>
      <c r="K3" s="64" t="inlineStr">
        <is>
          <t>-</t>
        </is>
      </c>
      <c r="L3" s="64" t="inlineStr">
        <is>
          <t>xxxx</t>
        </is>
      </c>
      <c r="M3" s="64" t="inlineStr">
        <is>
          <t>xxx</t>
        </is>
      </c>
      <c r="N3" s="64" t="inlineStr">
        <is>
          <t>xxx</t>
        </is>
      </c>
      <c r="O3" s="64" t="inlineStr">
        <is>
          <t>Dummy</t>
        </is>
      </c>
      <c r="P3" s="66" t="inlineStr">
        <is>
          <t>Manger</t>
        </is>
      </c>
      <c r="Q3" s="66" t="inlineStr">
        <is>
          <t>NA</t>
        </is>
      </c>
      <c r="R3" s="92" t="n"/>
      <c r="S3">
        <f>IFERROR(VLOOKUP(B3,'Salary sheet'!$B$3:$N$500,5,0),"")</f>
        <v/>
      </c>
    </row>
    <row r="4" ht="14.25" customHeight="1" s="103">
      <c r="A4" s="18" t="inlineStr">
        <is>
          <t>INF0003</t>
        </is>
      </c>
      <c r="B4" s="18" t="inlineStr">
        <is>
          <t>ABHAY KUMAR</t>
        </is>
      </c>
      <c r="C4" s="18" t="inlineStr">
        <is>
          <t>SHIV JATAN PANDIT</t>
        </is>
      </c>
      <c r="D4" s="18" t="inlineStr">
        <is>
          <t>info.developer007@gmail.com</t>
        </is>
      </c>
      <c r="E4" s="56" t="n">
        <v>35893</v>
      </c>
      <c r="F4" s="18" t="inlineStr">
        <is>
          <t>Male</t>
        </is>
      </c>
      <c r="G4" s="57" t="n">
        <v>43353</v>
      </c>
      <c r="H4" s="18" t="n"/>
      <c r="I4" s="18" t="n"/>
      <c r="J4" s="18" t="inlineStr">
        <is>
          <t>ESMPK3078Q</t>
        </is>
      </c>
      <c r="K4" s="18" t="inlineStr">
        <is>
          <t>-</t>
        </is>
      </c>
      <c r="L4" s="18" t="inlineStr">
        <is>
          <t>ICICI BANK</t>
        </is>
      </c>
      <c r="M4" s="18" t="inlineStr">
        <is>
          <t>037801521642</t>
        </is>
      </c>
      <c r="N4" s="18" t="inlineStr">
        <is>
          <t>ICIC0000378</t>
        </is>
      </c>
      <c r="O4" s="64" t="n"/>
      <c r="P4" s="66" t="n"/>
      <c r="Q4" s="66" t="n"/>
      <c r="R4" s="92" t="n"/>
      <c r="S4">
        <f>IFERROR(VLOOKUP(B4,'Salary sheet'!$B$3:$N$500,5,0),"")</f>
        <v/>
      </c>
    </row>
    <row r="5" ht="14.25" customHeight="1" s="103">
      <c r="A5" s="18" t="inlineStr">
        <is>
          <t>INF0004</t>
        </is>
      </c>
      <c r="B5" s="18" t="inlineStr">
        <is>
          <t>Brajesh Kuarma Singh</t>
        </is>
      </c>
      <c r="C5" s="18" t="inlineStr">
        <is>
          <t>Satendra Singh</t>
        </is>
      </c>
      <c r="D5" s="59" t="inlineStr">
        <is>
          <t>web.brij@gmail.com</t>
        </is>
      </c>
      <c r="E5" s="56" t="n">
        <v>33563</v>
      </c>
      <c r="F5" s="18" t="inlineStr">
        <is>
          <t>Male</t>
        </is>
      </c>
      <c r="G5" s="57" t="n">
        <v>43355</v>
      </c>
      <c r="H5" s="18" t="inlineStr">
        <is>
          <t>-</t>
        </is>
      </c>
      <c r="I5" s="18" t="inlineStr">
        <is>
          <t>-</t>
        </is>
      </c>
      <c r="J5" s="18" t="inlineStr">
        <is>
          <t>GRKPS2799H</t>
        </is>
      </c>
      <c r="K5" s="18" t="inlineStr">
        <is>
          <t>-</t>
        </is>
      </c>
      <c r="L5" s="18" t="inlineStr">
        <is>
          <t>ICICI Bank</t>
        </is>
      </c>
      <c r="M5" s="18" t="inlineStr">
        <is>
          <t>037801521653</t>
        </is>
      </c>
      <c r="N5" s="18" t="inlineStr">
        <is>
          <t>ICIC0000378</t>
        </is>
      </c>
      <c r="O5" s="18" t="inlineStr">
        <is>
          <t>IT</t>
        </is>
      </c>
      <c r="P5" s="58" t="inlineStr">
        <is>
          <t>IT Manager</t>
        </is>
      </c>
      <c r="Q5" s="66" t="inlineStr">
        <is>
          <t>NA</t>
        </is>
      </c>
      <c r="R5" s="92" t="n"/>
      <c r="S5">
        <f>IFERROR(VLOOKUP(B5,'Salary sheet'!$B$3:$N$500,5,0),"")</f>
        <v/>
      </c>
    </row>
    <row r="6" ht="14.25" customHeight="1" s="103">
      <c r="A6" s="18" t="inlineStr">
        <is>
          <t>INF0005</t>
        </is>
      </c>
      <c r="B6" s="18" t="inlineStr">
        <is>
          <t>Vikash Kumar</t>
        </is>
      </c>
      <c r="C6" s="18" t="inlineStr">
        <is>
          <t>Sunil Singh</t>
        </is>
      </c>
      <c r="D6" s="59" t="inlineStr">
        <is>
          <t>web.vkash98@gmail.com</t>
        </is>
      </c>
      <c r="E6" s="56" t="n">
        <v>35048</v>
      </c>
      <c r="F6" s="18" t="inlineStr">
        <is>
          <t>Male</t>
        </is>
      </c>
      <c r="G6" s="57" t="n">
        <v>43491</v>
      </c>
      <c r="H6" s="18" t="inlineStr">
        <is>
          <t>-</t>
        </is>
      </c>
      <c r="I6" s="18" t="inlineStr">
        <is>
          <t>-</t>
        </is>
      </c>
      <c r="J6" s="18" t="inlineStr">
        <is>
          <t>FVWPK2977J</t>
        </is>
      </c>
      <c r="K6" s="18" t="n">
        <v>3211</v>
      </c>
      <c r="L6" s="18" t="inlineStr">
        <is>
          <t>State Bank of India</t>
        </is>
      </c>
      <c r="M6" s="18" t="n">
        <v>33967680753</v>
      </c>
      <c r="N6" s="18" t="inlineStr">
        <is>
          <t>SBIN0003211</t>
        </is>
      </c>
      <c r="O6" s="18" t="inlineStr">
        <is>
          <t>SEO</t>
        </is>
      </c>
      <c r="P6" s="58" t="inlineStr">
        <is>
          <t>SEO Exevutive</t>
        </is>
      </c>
      <c r="Q6" s="66" t="n"/>
      <c r="R6" s="92" t="n"/>
      <c r="S6">
        <f>IFERROR(VLOOKUP(B6,'Salary sheet'!$B$3:$N$500,5,0),"")</f>
        <v/>
      </c>
    </row>
    <row r="7" ht="14.25" customHeight="1" s="103">
      <c r="A7" s="18" t="inlineStr">
        <is>
          <t>INF0006</t>
        </is>
      </c>
      <c r="B7" s="18" t="inlineStr">
        <is>
          <t>Ankit Saini</t>
        </is>
      </c>
      <c r="C7" s="18" t="inlineStr">
        <is>
          <t>Balkishan Saini</t>
        </is>
      </c>
      <c r="D7" s="59" t="inlineStr">
        <is>
          <t>ronsaini0009@gmail.com</t>
        </is>
      </c>
      <c r="E7" s="56" t="n">
        <v>34151</v>
      </c>
      <c r="F7" s="18" t="inlineStr">
        <is>
          <t>Male</t>
        </is>
      </c>
      <c r="G7" s="57" t="n">
        <v>43556</v>
      </c>
      <c r="H7" s="18" t="n"/>
      <c r="I7" s="18" t="n"/>
      <c r="J7" s="18" t="inlineStr">
        <is>
          <t>FBEPS8917Q</t>
        </is>
      </c>
      <c r="K7" s="18" t="inlineStr">
        <is>
          <t>-</t>
        </is>
      </c>
      <c r="L7" s="18" t="inlineStr">
        <is>
          <t>SBI</t>
        </is>
      </c>
      <c r="M7" s="18" t="n">
        <v>20109712008</v>
      </c>
      <c r="N7" s="18" t="inlineStr">
        <is>
          <t>SBIN0001620</t>
        </is>
      </c>
      <c r="O7" s="18" t="inlineStr">
        <is>
          <t>Graphic Design</t>
        </is>
      </c>
      <c r="P7" s="58" t="inlineStr">
        <is>
          <t>Senior Graphic Designer</t>
        </is>
      </c>
      <c r="Q7" s="66" t="inlineStr">
        <is>
          <t>NA</t>
        </is>
      </c>
      <c r="R7" s="92" t="n"/>
      <c r="S7">
        <f>IFERROR(VLOOKUP(B7,'Salary sheet'!$B$3:$N$500,5,0),"")</f>
        <v/>
      </c>
    </row>
    <row r="8" ht="14.25" customHeight="1" s="103">
      <c r="A8" s="18" t="inlineStr">
        <is>
          <t>INF0007</t>
        </is>
      </c>
      <c r="B8" s="18" t="inlineStr">
        <is>
          <t>Khokan Pradhan</t>
        </is>
      </c>
      <c r="C8" s="18" t="inlineStr">
        <is>
          <t>Ghanashyam Pardhan</t>
        </is>
      </c>
      <c r="D8" s="59" t="inlineStr">
        <is>
          <t>khokanpradhan22@gmail.com</t>
        </is>
      </c>
      <c r="E8" s="56" t="n">
        <v>30610</v>
      </c>
      <c r="F8" s="18" t="inlineStr">
        <is>
          <t>Male</t>
        </is>
      </c>
      <c r="G8" s="57" t="n">
        <v>44166</v>
      </c>
      <c r="H8" s="60" t="n"/>
      <c r="I8" s="18" t="n"/>
      <c r="J8" s="18" t="inlineStr">
        <is>
          <t>BWOPP5674A</t>
        </is>
      </c>
      <c r="K8" s="18" t="inlineStr">
        <is>
          <t>ICICI</t>
        </is>
      </c>
      <c r="L8" s="18" t="inlineStr">
        <is>
          <t>Khokan Pradhan</t>
        </is>
      </c>
      <c r="M8" s="18" t="inlineStr">
        <is>
          <t>037801521645</t>
        </is>
      </c>
      <c r="N8" s="18" t="inlineStr">
        <is>
          <t>ICIC0000378</t>
        </is>
      </c>
      <c r="O8" s="18" t="inlineStr">
        <is>
          <t>Pantry</t>
        </is>
      </c>
      <c r="P8" s="58" t="inlineStr">
        <is>
          <t>Office Boy</t>
        </is>
      </c>
      <c r="Q8" s="66" t="inlineStr">
        <is>
          <t>NA</t>
        </is>
      </c>
      <c r="R8" s="92" t="n"/>
      <c r="S8">
        <f>IFERROR(VLOOKUP(B8,'Salary sheet'!$B$3:$N$500,5,0),"")</f>
        <v/>
      </c>
    </row>
    <row r="9" ht="14.25" customHeight="1" s="103">
      <c r="A9" s="18" t="inlineStr">
        <is>
          <t>INF0008</t>
        </is>
      </c>
      <c r="B9" s="18" t="inlineStr">
        <is>
          <t>Amit</t>
        </is>
      </c>
      <c r="C9" s="18" t="inlineStr">
        <is>
          <t>Shankar Chandar</t>
        </is>
      </c>
      <c r="D9" s="18" t="inlineStr">
        <is>
          <t>amit.chandar1223@gmail.com</t>
        </is>
      </c>
      <c r="E9" s="56" t="n">
        <v>36482</v>
      </c>
      <c r="F9" s="18" t="inlineStr">
        <is>
          <t>Male</t>
        </is>
      </c>
      <c r="G9" s="57" t="n">
        <v>44872</v>
      </c>
      <c r="H9" s="18" t="n"/>
      <c r="I9" s="18" t="n"/>
      <c r="J9" s="18" t="inlineStr">
        <is>
          <t>CGUPA5210J</t>
        </is>
      </c>
      <c r="K9" s="18" t="n"/>
      <c r="L9" s="18" t="inlineStr">
        <is>
          <t>ICICI Bank</t>
        </is>
      </c>
      <c r="M9" s="18" t="inlineStr">
        <is>
          <t>037801521644</t>
        </is>
      </c>
      <c r="N9" s="18" t="inlineStr">
        <is>
          <t>icic0000378</t>
        </is>
      </c>
      <c r="O9" s="64" t="n"/>
      <c r="P9" s="58" t="inlineStr">
        <is>
          <t>Digital Marketing</t>
        </is>
      </c>
      <c r="Q9" s="66" t="inlineStr">
        <is>
          <t>NA</t>
        </is>
      </c>
      <c r="R9" s="92" t="n"/>
      <c r="S9">
        <f>IFERROR(VLOOKUP(B9,'Salary sheet'!$B$3:$N$500,5,0),"")</f>
        <v/>
      </c>
    </row>
    <row r="10" ht="14.25" customHeight="1" s="103">
      <c r="A10" s="18" t="inlineStr">
        <is>
          <t>INF0009</t>
        </is>
      </c>
      <c r="B10" s="18" t="inlineStr">
        <is>
          <t>Adarsh Prasad</t>
        </is>
      </c>
      <c r="C10" s="18" t="inlineStr">
        <is>
          <t>Shri Krishn Prasad</t>
        </is>
      </c>
      <c r="D10" s="59" t="inlineStr">
        <is>
          <t>adarshprasad7@gmail.com</t>
        </is>
      </c>
      <c r="E10" s="56" t="n">
        <v>35511</v>
      </c>
      <c r="F10" s="18" t="inlineStr">
        <is>
          <t>Male</t>
        </is>
      </c>
      <c r="G10" s="57" t="n">
        <v>44884</v>
      </c>
      <c r="H10" s="18" t="inlineStr">
        <is>
          <t>xxx</t>
        </is>
      </c>
      <c r="I10" s="18" t="inlineStr">
        <is>
          <t>NA</t>
        </is>
      </c>
      <c r="J10" s="18" t="inlineStr">
        <is>
          <t>EFDPP6859G</t>
        </is>
      </c>
      <c r="K10" s="18" t="inlineStr">
        <is>
          <t>-</t>
        </is>
      </c>
      <c r="L10" s="18" t="inlineStr">
        <is>
          <t>Axis Bank</t>
        </is>
      </c>
      <c r="M10" s="18" t="inlineStr">
        <is>
          <t>918010089314871</t>
        </is>
      </c>
      <c r="N10" s="18" t="inlineStr">
        <is>
          <t>UTIB0001600</t>
        </is>
      </c>
      <c r="O10" s="18" t="inlineStr">
        <is>
          <t>Developer</t>
        </is>
      </c>
      <c r="P10" s="58" t="inlineStr">
        <is>
          <t>React Developer</t>
        </is>
      </c>
      <c r="Q10" s="66" t="inlineStr">
        <is>
          <t>NA</t>
        </is>
      </c>
      <c r="R10" s="92" t="n"/>
      <c r="S10">
        <f>IFERROR(VLOOKUP(B10,'Salary sheet'!$B$3:$N$500,5,0),"")</f>
        <v/>
      </c>
    </row>
    <row r="11" ht="14.25" customHeight="1" s="103">
      <c r="A11" s="18" t="inlineStr">
        <is>
          <t>INF0010</t>
        </is>
      </c>
      <c r="B11" s="18" t="inlineStr">
        <is>
          <t>Vikash Kumar Singh</t>
        </is>
      </c>
      <c r="C11" s="18" t="inlineStr">
        <is>
          <t>Jay prakash singh</t>
        </is>
      </c>
      <c r="D11" s="18" t="inlineStr">
        <is>
          <t>vik18nov@gmail.com</t>
        </is>
      </c>
      <c r="E11" s="56" t="n">
        <v>36117</v>
      </c>
      <c r="F11" s="18" t="inlineStr">
        <is>
          <t>Male</t>
        </is>
      </c>
      <c r="G11" s="57" t="n">
        <v>45087</v>
      </c>
      <c r="H11" s="18" t="n"/>
      <c r="I11" s="18" t="n"/>
      <c r="J11" s="18" t="inlineStr">
        <is>
          <t>HULPS7841R</t>
        </is>
      </c>
      <c r="K11" s="18" t="inlineStr">
        <is>
          <t>-</t>
        </is>
      </c>
      <c r="L11" s="18" t="inlineStr">
        <is>
          <t>ICICI BANK</t>
        </is>
      </c>
      <c r="M11" s="18" t="inlineStr">
        <is>
          <t>037801521657</t>
        </is>
      </c>
      <c r="N11" s="18" t="inlineStr">
        <is>
          <t>ICIC0000378</t>
        </is>
      </c>
      <c r="O11" s="64" t="n"/>
      <c r="P11" s="66" t="n"/>
      <c r="Q11" s="66" t="n"/>
      <c r="R11" s="92" t="n"/>
      <c r="S11">
        <f>IFERROR(VLOOKUP(B11,'Salary sheet'!$B$3:$N$500,5,0),"")</f>
        <v/>
      </c>
    </row>
    <row r="12" ht="14.25" customHeight="1" s="103">
      <c r="A12" s="18" t="inlineStr">
        <is>
          <t>INF0011</t>
        </is>
      </c>
      <c r="B12" s="18" t="inlineStr">
        <is>
          <t>Arjun Kumar</t>
        </is>
      </c>
      <c r="C12" s="18" t="inlineStr">
        <is>
          <t>Mansharam</t>
        </is>
      </c>
      <c r="D12" s="61" t="inlineStr">
        <is>
          <t>search.arjunkumar@gmail.com</t>
        </is>
      </c>
      <c r="E12" s="56" t="n">
        <v>37564</v>
      </c>
      <c r="F12" s="18" t="inlineStr">
        <is>
          <t xml:space="preserve">Male </t>
        </is>
      </c>
      <c r="G12" s="57" t="n">
        <v>45135</v>
      </c>
      <c r="H12" s="18" t="n"/>
      <c r="I12" s="18" t="n"/>
      <c r="J12" s="18" t="inlineStr">
        <is>
          <t>LADPK7923E</t>
        </is>
      </c>
      <c r="K12" s="18" t="n"/>
      <c r="L12" s="18" t="inlineStr">
        <is>
          <t>State Bank of India</t>
        </is>
      </c>
      <c r="M12" s="18" t="n">
        <v>43268697370</v>
      </c>
      <c r="N12" s="18" t="inlineStr">
        <is>
          <t>SBIN0017285</t>
        </is>
      </c>
      <c r="O12" s="18" t="inlineStr">
        <is>
          <t>Creative Department</t>
        </is>
      </c>
      <c r="P12" s="58" t="inlineStr">
        <is>
          <t>Graphic Designer</t>
        </is>
      </c>
      <c r="Q12" s="66" t="n"/>
      <c r="R12" s="92" t="n"/>
      <c r="S12">
        <f>IFERROR(VLOOKUP(B12,'Salary sheet'!$B$3:$N$500,5,0),"")</f>
        <v/>
      </c>
    </row>
    <row r="13" ht="14.25" customHeight="1" s="103">
      <c r="A13" s="18" t="inlineStr">
        <is>
          <t>INF0012</t>
        </is>
      </c>
      <c r="B13" s="18" t="inlineStr">
        <is>
          <t>Naitik Shukla</t>
        </is>
      </c>
      <c r="C13" s="18" t="inlineStr">
        <is>
          <t>Krishna Kumar Shukla</t>
        </is>
      </c>
      <c r="D13" s="59" t="inlineStr">
        <is>
          <t>naitikshukla324@gmail.com</t>
        </is>
      </c>
      <c r="E13" s="56" t="n">
        <v>38159</v>
      </c>
      <c r="F13" s="18" t="inlineStr">
        <is>
          <t>Male</t>
        </is>
      </c>
      <c r="G13" s="57" t="n">
        <v>45246</v>
      </c>
      <c r="H13" s="18" t="n"/>
      <c r="I13" s="18" t="n"/>
      <c r="J13" s="18" t="inlineStr">
        <is>
          <t>SNKPS9082P</t>
        </is>
      </c>
      <c r="K13" s="18" t="n"/>
      <c r="L13" s="18" t="inlineStr">
        <is>
          <t>State Bank of India</t>
        </is>
      </c>
      <c r="M13" s="18" t="n">
        <v>43747285476</v>
      </c>
      <c r="N13" s="18" t="inlineStr">
        <is>
          <t>SBIN0063189</t>
        </is>
      </c>
      <c r="O13" s="18" t="inlineStr">
        <is>
          <t>Marketing</t>
        </is>
      </c>
      <c r="P13" s="58" t="inlineStr">
        <is>
          <t>Manager</t>
        </is>
      </c>
      <c r="Q13" s="66" t="inlineStr">
        <is>
          <t>NA</t>
        </is>
      </c>
      <c r="R13" s="92" t="n"/>
      <c r="S13">
        <f>IFERROR(VLOOKUP(B13,'Salary sheet'!$B$3:$N$500,5,0),"")</f>
        <v/>
      </c>
    </row>
    <row r="14" ht="14.25" customHeight="1" s="103">
      <c r="A14" s="18" t="inlineStr">
        <is>
          <t>INF0013</t>
        </is>
      </c>
      <c r="B14" s="18" t="inlineStr">
        <is>
          <t>Naresh Rawat</t>
        </is>
      </c>
      <c r="C14" s="18" t="inlineStr">
        <is>
          <t>Shyam Singh Rawat</t>
        </is>
      </c>
      <c r="D14" s="18" t="inlineStr">
        <is>
          <t>nareshrawat15082022@gmail.com</t>
        </is>
      </c>
      <c r="E14" s="56" t="n">
        <v>37705</v>
      </c>
      <c r="F14" s="18" t="inlineStr">
        <is>
          <t>Male</t>
        </is>
      </c>
      <c r="G14" s="57" t="n">
        <v>45295</v>
      </c>
      <c r="H14" s="18" t="n"/>
      <c r="I14" s="18" t="n"/>
      <c r="J14" s="18" t="inlineStr">
        <is>
          <t>HKWPR8039H</t>
        </is>
      </c>
      <c r="K14" s="18" t="n"/>
      <c r="L14" s="18" t="inlineStr">
        <is>
          <t>IndusInd Bank</t>
        </is>
      </c>
      <c r="M14" s="18" t="inlineStr">
        <is>
          <t>189958512784</t>
        </is>
      </c>
      <c r="N14" s="18" t="inlineStr">
        <is>
          <t>INDB0001503</t>
        </is>
      </c>
      <c r="O14" s="18" t="inlineStr">
        <is>
          <t>Web Designer</t>
        </is>
      </c>
      <c r="P14" s="66" t="n"/>
      <c r="Q14" s="66" t="n"/>
      <c r="R14" s="92" t="n"/>
      <c r="S14">
        <f>IFERROR(VLOOKUP(B14,'Salary sheet'!$B$3:$N$500,5,0),"")</f>
        <v/>
      </c>
    </row>
    <row r="15" ht="14.25" customHeight="1" s="103">
      <c r="A15" s="18" t="inlineStr">
        <is>
          <t>INF0014</t>
        </is>
      </c>
      <c r="B15" s="18" t="inlineStr">
        <is>
          <t>Santosh Kumar Upadhayay</t>
        </is>
      </c>
      <c r="C15" s="18" t="inlineStr">
        <is>
          <t>Sachchida nand Upadhayay</t>
        </is>
      </c>
      <c r="D15" s="59" t="inlineStr">
        <is>
          <t>santoshkuma57717@gmail.com</t>
        </is>
      </c>
      <c r="E15" s="56" t="n">
        <v>37317</v>
      </c>
      <c r="F15" s="18" t="inlineStr">
        <is>
          <t>Male</t>
        </is>
      </c>
      <c r="G15" s="57" t="n">
        <v>45444</v>
      </c>
      <c r="H15" s="18" t="n"/>
      <c r="I15" s="18" t="n"/>
      <c r="J15" s="18" t="inlineStr">
        <is>
          <t>AMOPU1434E</t>
        </is>
      </c>
      <c r="K15" s="18" t="n"/>
      <c r="L15" s="18" t="inlineStr">
        <is>
          <t>State Bank of India</t>
        </is>
      </c>
      <c r="M15" s="18" t="n">
        <v>38478367599</v>
      </c>
      <c r="N15" s="18" t="inlineStr">
        <is>
          <t>SBIN0004577</t>
        </is>
      </c>
      <c r="O15" s="64" t="n"/>
      <c r="P15" s="58" t="inlineStr">
        <is>
          <t>Frontend Developer</t>
        </is>
      </c>
      <c r="Q15" s="66" t="n"/>
      <c r="R15" s="92" t="n"/>
      <c r="S15">
        <f>IFERROR(VLOOKUP(B15,'Salary sheet'!$B$3:$N$500,5,0),"")</f>
        <v/>
      </c>
    </row>
    <row r="16" ht="14.25" customHeight="1" s="103">
      <c r="A16" s="18" t="inlineStr">
        <is>
          <t>INF0015</t>
        </is>
      </c>
      <c r="B16" s="18" t="inlineStr">
        <is>
          <t>Aman Tiwari</t>
        </is>
      </c>
      <c r="C16" s="18" t="inlineStr">
        <is>
          <t>Satya Prakash Tiwari</t>
        </is>
      </c>
      <c r="D16" s="59" t="inlineStr">
        <is>
          <t>amanak9036@gmail.com</t>
        </is>
      </c>
      <c r="E16" s="56" t="n">
        <v>37471</v>
      </c>
      <c r="F16" s="18" t="inlineStr">
        <is>
          <t>Male</t>
        </is>
      </c>
      <c r="G16" s="57" t="n">
        <v>45570</v>
      </c>
      <c r="H16" s="18" t="n"/>
      <c r="I16" s="18" t="n"/>
      <c r="J16" s="18" t="inlineStr">
        <is>
          <t>CHDPT3484M</t>
        </is>
      </c>
      <c r="K16" s="18" t="inlineStr">
        <is>
          <t>-</t>
        </is>
      </c>
      <c r="L16" s="18" t="inlineStr">
        <is>
          <t>Kotak Mahindra Bank</t>
        </is>
      </c>
      <c r="M16" s="18" t="n">
        <v>2546561687</v>
      </c>
      <c r="N16" s="18" t="inlineStr">
        <is>
          <t>KKBK0004601</t>
        </is>
      </c>
      <c r="O16" s="18" t="inlineStr">
        <is>
          <t>Creative</t>
        </is>
      </c>
      <c r="P16" s="58" t="inlineStr">
        <is>
          <t>Video Editor</t>
        </is>
      </c>
      <c r="Q16" s="66" t="inlineStr">
        <is>
          <t>NA</t>
        </is>
      </c>
      <c r="R16" s="92" t="n"/>
      <c r="S16">
        <f>IFERROR(VLOOKUP(B16,'Salary sheet'!$B$3:$N$500,5,0),"")</f>
        <v/>
      </c>
    </row>
    <row r="17" ht="14.25" customHeight="1" s="103">
      <c r="A17" s="18" t="inlineStr">
        <is>
          <t>INF0016</t>
        </is>
      </c>
      <c r="B17" s="18" t="inlineStr">
        <is>
          <t>Saumya Agrahari</t>
        </is>
      </c>
      <c r="C17" s="18" t="inlineStr">
        <is>
          <t>Mr.Manoj Kumar Agrahari</t>
        </is>
      </c>
      <c r="D17" s="59" t="inlineStr">
        <is>
          <t>saumyaagrahari101@gmail.com</t>
        </is>
      </c>
      <c r="E17" s="56" t="inlineStr">
        <is>
          <t>31.05.2003</t>
        </is>
      </c>
      <c r="F17" s="18" t="inlineStr">
        <is>
          <t>Female</t>
        </is>
      </c>
      <c r="G17" s="57" t="n">
        <v>45852</v>
      </c>
      <c r="H17" s="18" t="n"/>
      <c r="I17" s="18" t="n"/>
      <c r="J17" s="18" t="inlineStr">
        <is>
          <t>ERSPA2448Q</t>
        </is>
      </c>
      <c r="K17" s="18" t="n"/>
      <c r="L17" s="18" t="inlineStr">
        <is>
          <t>SBI</t>
        </is>
      </c>
      <c r="M17" s="18" t="n">
        <v>40462508769</v>
      </c>
      <c r="N17" s="18" t="inlineStr">
        <is>
          <t>SBIN0007075</t>
        </is>
      </c>
      <c r="O17" s="18" t="inlineStr">
        <is>
          <t>Development</t>
        </is>
      </c>
      <c r="P17" s="58" t="inlineStr">
        <is>
          <t>Web Devloper</t>
        </is>
      </c>
      <c r="Q17" s="66" t="n"/>
      <c r="R17" s="92" t="n"/>
      <c r="S17">
        <f>IFERROR(VLOOKUP(B17,'Salary sheet'!$B$3:$N$500,5,0),"")</f>
        <v/>
      </c>
    </row>
    <row r="18" ht="14.25" customHeight="1" s="103">
      <c r="A18" s="18" t="inlineStr">
        <is>
          <t>INF0017</t>
        </is>
      </c>
      <c r="B18" s="18" t="inlineStr">
        <is>
          <t>VORA ARVINDBHAI ARVINDBHAI</t>
        </is>
      </c>
      <c r="C18" s="18" t="inlineStr">
        <is>
          <t>ARVINDBHAI (Vivek Kumar)</t>
        </is>
      </c>
      <c r="D18" s="59" t="inlineStr">
        <is>
          <t>vivekvora8485@gmail.com</t>
        </is>
      </c>
      <c r="E18" s="56" t="n">
        <v>36378</v>
      </c>
      <c r="F18" s="18" t="inlineStr">
        <is>
          <t>Male</t>
        </is>
      </c>
      <c r="G18" s="57" t="n">
        <v>45857</v>
      </c>
      <c r="H18" s="18" t="n"/>
      <c r="I18" s="18" t="n"/>
      <c r="J18" s="18" t="inlineStr">
        <is>
          <t>BJXPV3346P</t>
        </is>
      </c>
      <c r="K18" s="18" t="n"/>
      <c r="L18" s="18" t="inlineStr">
        <is>
          <t>HDFC Bank</t>
        </is>
      </c>
      <c r="M18" s="18" t="inlineStr">
        <is>
          <t>50100692454810</t>
        </is>
      </c>
      <c r="N18" s="18" t="inlineStr">
        <is>
          <t>HDFC0005894</t>
        </is>
      </c>
      <c r="O18" s="18" t="inlineStr">
        <is>
          <t>Technical</t>
        </is>
      </c>
      <c r="P18" s="58" t="inlineStr">
        <is>
          <t>frontend developer</t>
        </is>
      </c>
      <c r="Q18" s="66" t="inlineStr">
        <is>
          <t>NA</t>
        </is>
      </c>
      <c r="R18" s="92" t="n"/>
      <c r="S18">
        <f>IFERROR(VLOOKUP(B18,'Salary sheet'!$B$3:$N$500,5,0),"")</f>
        <v/>
      </c>
    </row>
    <row r="19" ht="14.25" customHeight="1" s="103">
      <c r="A19" s="18" t="inlineStr">
        <is>
          <t>INF0018</t>
        </is>
      </c>
      <c r="B19" s="18" t="inlineStr">
        <is>
          <t>Chandan kumar mandal</t>
        </is>
      </c>
      <c r="C19" s="18" t="inlineStr">
        <is>
          <t>Raj kumar mandal</t>
        </is>
      </c>
      <c r="D19" s="59" t="inlineStr">
        <is>
          <t>chandanraj495@gmail.com</t>
        </is>
      </c>
      <c r="E19" s="56" t="n">
        <v>31711</v>
      </c>
      <c r="F19" s="18" t="inlineStr">
        <is>
          <t>Male</t>
        </is>
      </c>
      <c r="G19" s="57" t="n">
        <v>45978</v>
      </c>
      <c r="H19" s="18" t="inlineStr">
        <is>
          <t>101629256677</t>
        </is>
      </c>
      <c r="I19" s="18" t="inlineStr">
        <is>
          <t>DSSHD19579140000010105</t>
        </is>
      </c>
      <c r="J19" s="18" t="inlineStr">
        <is>
          <t>CYFPM0322J</t>
        </is>
      </c>
      <c r="K19" s="18" t="n"/>
      <c r="L19" s="18" t="inlineStr">
        <is>
          <t>Punjab National Bank</t>
        </is>
      </c>
      <c r="M19" s="18" t="inlineStr">
        <is>
          <t>6578000100072101</t>
        </is>
      </c>
      <c r="N19" s="18" t="inlineStr">
        <is>
          <t>PUNB0657800</t>
        </is>
      </c>
      <c r="O19" s="18" t="inlineStr">
        <is>
          <t>Development</t>
        </is>
      </c>
      <c r="P19" s="58" t="inlineStr">
        <is>
          <t>Full Stack Developer</t>
        </is>
      </c>
      <c r="Q19" s="66" t="n"/>
      <c r="R19" s="92" t="n"/>
      <c r="S19">
        <f>IFERROR(VLOOKUP(B19,'Salary sheet'!$B$3:$N$500,5,0),"")</f>
        <v/>
      </c>
    </row>
    <row r="20" ht="14.25" customHeight="1" s="103">
      <c r="A20" s="18" t="inlineStr">
        <is>
          <t>INF0019</t>
        </is>
      </c>
      <c r="B20" s="18" t="inlineStr">
        <is>
          <t>Rishabh Khanna</t>
        </is>
      </c>
      <c r="C20" s="18" t="inlineStr">
        <is>
          <t>Manoj Khanna</t>
        </is>
      </c>
      <c r="D20" s="18" t="inlineStr">
        <is>
          <t>rishabhk1011@outlook.com</t>
        </is>
      </c>
      <c r="E20" s="56" t="n">
        <v>36109</v>
      </c>
      <c r="F20" s="18" t="inlineStr">
        <is>
          <t>Male</t>
        </is>
      </c>
      <c r="G20" s="57" t="n">
        <v>46020</v>
      </c>
      <c r="H20" s="18" t="inlineStr">
        <is>
          <t>101721828793</t>
        </is>
      </c>
      <c r="I20" s="18" t="inlineStr">
        <is>
          <t>MHBAN00484750002393858</t>
        </is>
      </c>
      <c r="J20" s="64" t="n"/>
      <c r="K20" s="18" t="inlineStr">
        <is>
          <t>-</t>
        </is>
      </c>
      <c r="L20" s="18" t="inlineStr">
        <is>
          <t>HDFC bank</t>
        </is>
      </c>
      <c r="M20" s="18" t="inlineStr">
        <is>
          <t>50100436528920</t>
        </is>
      </c>
      <c r="N20" s="18" t="inlineStr">
        <is>
          <t>HDFC0001881</t>
        </is>
      </c>
      <c r="O20" s="64" t="n"/>
      <c r="P20" s="58" t="inlineStr">
        <is>
          <t>DevOps engineer</t>
        </is>
      </c>
      <c r="Q20" s="66" t="inlineStr">
        <is>
          <t>NA</t>
        </is>
      </c>
      <c r="R20" s="92" t="n"/>
      <c r="S20">
        <f>IFERROR(VLOOKUP(B20,'Salary sheet'!$B$3:$N$500,5,0),"")</f>
        <v/>
      </c>
    </row>
    <row r="21" ht="14.25" customHeight="1" s="103">
      <c r="A21" s="18" t="inlineStr">
        <is>
          <t>INF0020</t>
        </is>
      </c>
      <c r="B21" s="18" t="inlineStr">
        <is>
          <t>MANOJ KUMAR KASHYAP</t>
        </is>
      </c>
      <c r="C21" s="18" t="inlineStr">
        <is>
          <t>Sonpal Kashyap</t>
        </is>
      </c>
      <c r="D21" s="61" t="inlineStr">
        <is>
          <t>manoj.kashyap.official@gmail.com</t>
        </is>
      </c>
      <c r="E21" s="56" t="inlineStr">
        <is>
          <t>30/07/1994</t>
        </is>
      </c>
      <c r="F21" s="18" t="inlineStr">
        <is>
          <t>Male</t>
        </is>
      </c>
      <c r="G21" s="57" t="n">
        <v>46027</v>
      </c>
      <c r="H21" s="62" t="inlineStr">
        <is>
          <t>101792684814</t>
        </is>
      </c>
      <c r="I21" s="18" t="n"/>
      <c r="J21" s="18" t="inlineStr">
        <is>
          <t>GMFPK3653C</t>
        </is>
      </c>
      <c r="K21" s="18" t="n"/>
      <c r="L21" s="18" t="inlineStr">
        <is>
          <t>HDFC Bank</t>
        </is>
      </c>
      <c r="M21" s="62" t="inlineStr">
        <is>
          <t>50100745018400</t>
        </is>
      </c>
      <c r="N21" s="18" t="inlineStr">
        <is>
          <t>HDFC0000711</t>
        </is>
      </c>
      <c r="O21" s="18" t="inlineStr">
        <is>
          <t>IT</t>
        </is>
      </c>
      <c r="P21" s="58" t="inlineStr">
        <is>
          <t>Frontend Developer</t>
        </is>
      </c>
      <c r="Q21" s="66" t="n"/>
      <c r="R21" s="92" t="n"/>
      <c r="S21">
        <f>IFERROR(VLOOKUP(B21,'Salary sheet'!$B$3:$N$500,5,0),"")</f>
        <v/>
      </c>
    </row>
    <row r="22" ht="14.25" customHeight="1" s="103">
      <c r="A22" s="18" t="inlineStr">
        <is>
          <t>INF0021</t>
        </is>
      </c>
      <c r="B22" s="18" t="inlineStr">
        <is>
          <t>Kaushal</t>
        </is>
      </c>
      <c r="C22" s="18" t="inlineStr">
        <is>
          <t>Rakesh Kumar</t>
        </is>
      </c>
      <c r="D22" s="59" t="inlineStr">
        <is>
          <t>Kaushalkumar704277@gmail.com</t>
        </is>
      </c>
      <c r="E22" s="56" t="inlineStr">
        <is>
          <t>17.10.2003</t>
        </is>
      </c>
      <c r="F22" s="18" t="inlineStr">
        <is>
          <t>Male</t>
        </is>
      </c>
      <c r="G22" s="57" t="n">
        <v>46032</v>
      </c>
      <c r="H22" s="18" t="inlineStr">
        <is>
          <t>-</t>
        </is>
      </c>
      <c r="I22" s="18" t="inlineStr">
        <is>
          <t>-</t>
        </is>
      </c>
      <c r="J22" s="18" t="inlineStr">
        <is>
          <t>MMBPK6633E</t>
        </is>
      </c>
      <c r="K22" s="18" t="inlineStr">
        <is>
          <t>-</t>
        </is>
      </c>
      <c r="L22" s="18" t="inlineStr">
        <is>
          <t>Punjab National Bank</t>
        </is>
      </c>
      <c r="M22" s="18" t="inlineStr">
        <is>
          <t>7989001700053027</t>
        </is>
      </c>
      <c r="N22" s="18" t="inlineStr">
        <is>
          <t>PUNB0798900</t>
        </is>
      </c>
      <c r="O22" s="18" t="inlineStr">
        <is>
          <t>Social Media</t>
        </is>
      </c>
      <c r="P22" s="58" t="inlineStr">
        <is>
          <t>Social Media Manager</t>
        </is>
      </c>
      <c r="Q22" s="66" t="inlineStr">
        <is>
          <t>NA</t>
        </is>
      </c>
      <c r="R22" s="92" t="n"/>
      <c r="S22">
        <f>IFERROR(VLOOKUP(B22,'Salary sheet'!$B$3:$N$500,5,0),"")</f>
        <v/>
      </c>
    </row>
    <row r="23" ht="14.25" customHeight="1" s="103">
      <c r="A23" s="18" t="inlineStr">
        <is>
          <t>INF0022</t>
        </is>
      </c>
      <c r="B23" s="18" t="inlineStr">
        <is>
          <t>Vinay Chauhan</t>
        </is>
      </c>
      <c r="C23" s="18" t="inlineStr">
        <is>
          <t>Ashok</t>
        </is>
      </c>
      <c r="D23" s="61" t="inlineStr">
        <is>
          <t>vc699180@gmail.com</t>
        </is>
      </c>
      <c r="E23" s="56" t="inlineStr">
        <is>
          <t>10/09/1997</t>
        </is>
      </c>
      <c r="F23" s="18" t="inlineStr">
        <is>
          <t>Male</t>
        </is>
      </c>
      <c r="G23" s="57" t="n">
        <v>46041</v>
      </c>
      <c r="H23" s="62" t="inlineStr">
        <is>
          <t>101584990209</t>
        </is>
      </c>
      <c r="I23" s="18" t="n"/>
      <c r="J23" s="18" t="inlineStr">
        <is>
          <t>BTJPC5221Q</t>
        </is>
      </c>
      <c r="K23" s="18" t="inlineStr">
        <is>
          <t>-</t>
        </is>
      </c>
      <c r="L23" s="18" t="inlineStr">
        <is>
          <t>DBS Bank</t>
        </is>
      </c>
      <c r="M23" s="62" t="inlineStr">
        <is>
          <t>8504010000009590</t>
        </is>
      </c>
      <c r="N23" s="18" t="inlineStr">
        <is>
          <t>DBSS0IN0504</t>
        </is>
      </c>
      <c r="O23" s="18" t="inlineStr">
        <is>
          <t>IT</t>
        </is>
      </c>
      <c r="P23" s="58" t="inlineStr">
        <is>
          <t>React Developer</t>
        </is>
      </c>
      <c r="Q23" s="66" t="inlineStr">
        <is>
          <t>NA</t>
        </is>
      </c>
      <c r="R23" s="92" t="n"/>
      <c r="S23">
        <f>IFERROR(VLOOKUP(B23,'Salary sheet'!$B$3:$N$500,5,0),"")</f>
        <v/>
      </c>
    </row>
    <row r="24" ht="14.25" customHeight="1" s="103">
      <c r="A24" s="18" t="inlineStr">
        <is>
          <t>INF0023</t>
        </is>
      </c>
      <c r="B24" s="18" t="inlineStr">
        <is>
          <t>Harsh Saliya</t>
        </is>
      </c>
      <c r="C24" s="18" t="inlineStr">
        <is>
          <t>Ashvinbhai</t>
        </is>
      </c>
      <c r="D24" s="18" t="inlineStr">
        <is>
          <t>harshsaliya1998@gmail.com</t>
        </is>
      </c>
      <c r="E24" s="63" t="n">
        <v>36109</v>
      </c>
      <c r="F24" s="18" t="inlineStr">
        <is>
          <t>Male</t>
        </is>
      </c>
      <c r="G24" s="57" t="n">
        <v>46047</v>
      </c>
      <c r="H24" s="18" t="inlineStr">
        <is>
          <t>xxx</t>
        </is>
      </c>
      <c r="I24" s="18" t="n"/>
      <c r="J24" s="64" t="n"/>
      <c r="K24" s="18" t="inlineStr">
        <is>
          <t>-</t>
        </is>
      </c>
      <c r="L24" s="18" t="inlineStr">
        <is>
          <t>HDFC Bank</t>
        </is>
      </c>
      <c r="M24" s="18" t="inlineStr">
        <is>
          <t>50100785998159</t>
        </is>
      </c>
      <c r="N24" s="18" t="inlineStr">
        <is>
          <t>HDFC0007946</t>
        </is>
      </c>
      <c r="O24" s="18" t="inlineStr">
        <is>
          <t>Design</t>
        </is>
      </c>
      <c r="P24" s="58" t="inlineStr">
        <is>
          <t>UI/UX Designer</t>
        </is>
      </c>
      <c r="Q24" s="66" t="inlineStr">
        <is>
          <t>NA</t>
        </is>
      </c>
      <c r="R24" s="92" t="n"/>
      <c r="S24">
        <f>IFERROR(VLOOKUP(B24,'Salary sheet'!$B$3:$N$500,5,0),"")</f>
        <v/>
      </c>
    </row>
    <row r="25" ht="14.25" customHeight="1" s="103">
      <c r="A25" s="18" t="inlineStr">
        <is>
          <t>INF0024</t>
        </is>
      </c>
      <c r="B25" s="18" t="inlineStr">
        <is>
          <t>Pankaj kumar</t>
        </is>
      </c>
      <c r="C25" s="18" t="inlineStr">
        <is>
          <t>Ram bahadur</t>
        </is>
      </c>
      <c r="D25" s="18" t="inlineStr">
        <is>
          <t>pankajpaul0007@gmailcom</t>
        </is>
      </c>
      <c r="E25" s="56" t="n">
        <v>34912</v>
      </c>
      <c r="F25" s="18" t="inlineStr">
        <is>
          <t>Male</t>
        </is>
      </c>
      <c r="G25" s="67" t="n">
        <v>46098</v>
      </c>
      <c r="H25" s="73" t="inlineStr">
        <is>
          <t>101461380564</t>
        </is>
      </c>
      <c r="I25" s="18" t="inlineStr">
        <is>
          <t>MRNOI18279380000025459</t>
        </is>
      </c>
      <c r="J25" s="64" t="n"/>
      <c r="K25" s="18" t="inlineStr">
        <is>
          <t>FDRL0001555</t>
        </is>
      </c>
      <c r="L25" s="18" t="inlineStr">
        <is>
          <t>FEDERAL</t>
        </is>
      </c>
      <c r="M25" s="18" t="inlineStr">
        <is>
          <t>15550100042065</t>
        </is>
      </c>
      <c r="N25" s="18" t="inlineStr">
        <is>
          <t>FDRL0001555</t>
        </is>
      </c>
      <c r="O25" s="18" t="inlineStr">
        <is>
          <t>IT</t>
        </is>
      </c>
      <c r="P25" s="58" t="inlineStr">
        <is>
          <t>SEN.SOFTWARE DEVELOPER</t>
        </is>
      </c>
      <c r="Q25" s="66" t="n"/>
      <c r="R25" s="92" t="n"/>
      <c r="S25">
        <f>IFERROR(VLOOKUP(B25,'Salary sheet'!$B$3:$N$500,5,0),"")</f>
        <v/>
      </c>
    </row>
    <row r="26" ht="14.25" customHeight="1" s="103">
      <c r="A26" s="18" t="inlineStr">
        <is>
          <t>INF0025</t>
        </is>
      </c>
      <c r="B26" s="18" t="inlineStr">
        <is>
          <t>Antama</t>
        </is>
      </c>
      <c r="C26" s="18" t="inlineStr">
        <is>
          <t>Rajender singh</t>
        </is>
      </c>
      <c r="D26" s="59" t="inlineStr">
        <is>
          <t>tanwerantama@gmail.com</t>
        </is>
      </c>
      <c r="E26" s="56" t="n">
        <v>36875</v>
      </c>
      <c r="F26" s="18" t="inlineStr">
        <is>
          <t>Female</t>
        </is>
      </c>
      <c r="G26" s="67" t="n">
        <v>46107</v>
      </c>
      <c r="H26" s="18" t="n"/>
      <c r="I26" s="18" t="n"/>
      <c r="J26" s="18" t="inlineStr">
        <is>
          <t>CCJPA7675L</t>
        </is>
      </c>
      <c r="K26" s="18" t="n"/>
      <c r="L26" s="18" t="inlineStr">
        <is>
          <t>SBI</t>
        </is>
      </c>
      <c r="M26" s="18" t="n">
        <v>37723081055</v>
      </c>
      <c r="N26" s="18" t="inlineStr">
        <is>
          <t>SBIN0051448</t>
        </is>
      </c>
      <c r="O26" s="18" t="inlineStr">
        <is>
          <t>Development</t>
        </is>
      </c>
      <c r="P26" s="58" t="inlineStr">
        <is>
          <t>Web Developer</t>
        </is>
      </c>
      <c r="Q26" s="66" t="inlineStr">
        <is>
          <t>NA</t>
        </is>
      </c>
      <c r="R26" s="92" t="n"/>
      <c r="S26">
        <f>IFERROR(VLOOKUP(B26,'Salary sheet'!$B$3:$N$500,5,0),"")</f>
        <v/>
      </c>
    </row>
    <row r="27" ht="14.25" customHeight="1" s="103">
      <c r="A27" s="18" t="inlineStr">
        <is>
          <t>INF0026</t>
        </is>
      </c>
      <c r="B27" s="18" t="inlineStr">
        <is>
          <t>Dhruva Pathak</t>
        </is>
      </c>
      <c r="C27" s="18" t="inlineStr">
        <is>
          <t>Late Vijay Pathak</t>
        </is>
      </c>
      <c r="D27" s="61" t="inlineStr">
        <is>
          <t>dhruva.pathak@equipped.ai</t>
        </is>
      </c>
      <c r="E27" s="56" t="n">
        <v>28772</v>
      </c>
      <c r="F27" s="18" t="inlineStr">
        <is>
          <t>Male</t>
        </is>
      </c>
      <c r="G27" s="68" t="n"/>
      <c r="H27" s="18" t="inlineStr">
        <is>
          <t>xxx</t>
        </is>
      </c>
      <c r="I27" s="18" t="n"/>
      <c r="J27" s="18" t="inlineStr">
        <is>
          <t>AMJPP4490Q</t>
        </is>
      </c>
      <c r="K27" s="14" t="n"/>
      <c r="L27" s="18" t="inlineStr">
        <is>
          <t>Kotak Mahindra Bank</t>
        </is>
      </c>
      <c r="M27" s="18" t="inlineStr">
        <is>
          <t>01810030015156</t>
        </is>
      </c>
      <c r="N27" s="18" t="inlineStr">
        <is>
          <t>KKBK0000181</t>
        </is>
      </c>
      <c r="O27" s="18" t="inlineStr">
        <is>
          <t>QA</t>
        </is>
      </c>
      <c r="P27" s="58" t="inlineStr">
        <is>
          <t>QA</t>
        </is>
      </c>
      <c r="Q27" s="66" t="inlineStr">
        <is>
          <t>NA</t>
        </is>
      </c>
      <c r="R27" s="92" t="n"/>
      <c r="S27">
        <f>IFERROR(VLOOKUP(B27,'Salary sheet'!$B$3:$N$500,5,0),"")</f>
        <v/>
      </c>
    </row>
    <row r="28" ht="14.25" customHeight="1" s="103">
      <c r="A28" s="18" t="inlineStr">
        <is>
          <t>INF0027</t>
        </is>
      </c>
      <c r="B28" s="18" t="inlineStr">
        <is>
          <t>Gulam Waris</t>
        </is>
      </c>
      <c r="C28" s="18" t="inlineStr">
        <is>
          <t>Ali Zaheer Warsi</t>
        </is>
      </c>
      <c r="D28" s="61" t="inlineStr">
        <is>
          <t>warisgulam50@gmail.com</t>
        </is>
      </c>
      <c r="E28" s="56" t="n">
        <v>33786</v>
      </c>
      <c r="F28" s="18" t="inlineStr">
        <is>
          <t>Male</t>
        </is>
      </c>
      <c r="G28" s="67" t="n">
        <v>46006</v>
      </c>
      <c r="H28" s="72" t="inlineStr">
        <is>
          <t>101693665054</t>
        </is>
      </c>
      <c r="I28" s="18" t="n"/>
      <c r="J28" s="18" t="inlineStr">
        <is>
          <t>AGEPW9420E</t>
        </is>
      </c>
      <c r="K28" s="18" t="n"/>
      <c r="L28" s="14" t="inlineStr">
        <is>
          <t>Axis Bank</t>
        </is>
      </c>
      <c r="M28" s="18" t="inlineStr">
        <is>
          <t>921010046063008</t>
        </is>
      </c>
      <c r="N28" s="18" t="inlineStr">
        <is>
          <t>UTIB0003557</t>
        </is>
      </c>
      <c r="O28" s="64" t="n"/>
      <c r="P28" s="66" t="n"/>
      <c r="Q28" s="66" t="n"/>
      <c r="R28" s="92" t="n"/>
      <c r="S28">
        <f>IFERROR(VLOOKUP(B28,'Salary sheet'!$B$3:$N$500,5,0),"")</f>
        <v/>
      </c>
    </row>
    <row r="29" ht="14.25" customHeight="1" s="103">
      <c r="A29" s="18" t="inlineStr">
        <is>
          <t>INF0029</t>
        </is>
      </c>
      <c r="B29" s="18" t="inlineStr">
        <is>
          <t>Shankar Kumar Das</t>
        </is>
      </c>
      <c r="C29" s="18" t="inlineStr">
        <is>
          <t>Ram Lakhan Das</t>
        </is>
      </c>
      <c r="D29" s="61" t="inlineStr">
        <is>
          <t>shankarkr.23@gmail.com</t>
        </is>
      </c>
      <c r="E29" s="56" t="n">
        <v>33016</v>
      </c>
      <c r="F29" s="18" t="inlineStr">
        <is>
          <t>Male</t>
        </is>
      </c>
      <c r="G29" s="67" t="n">
        <v>44257</v>
      </c>
      <c r="H29" s="18" t="n"/>
      <c r="I29" s="18" t="n"/>
      <c r="J29" s="18" t="inlineStr">
        <is>
          <t>BLEPD0688R</t>
        </is>
      </c>
      <c r="K29" s="18" t="n"/>
      <c r="L29" s="14" t="inlineStr">
        <is>
          <t>ICICI Bank</t>
        </is>
      </c>
      <c r="M29" s="18" t="inlineStr">
        <is>
          <t>037801521656</t>
        </is>
      </c>
      <c r="N29" s="18" t="inlineStr">
        <is>
          <t>ICIC0000378</t>
        </is>
      </c>
      <c r="O29" s="64" t="n"/>
      <c r="P29" s="58" t="inlineStr">
        <is>
          <t>Front end developer (UI Developer)</t>
        </is>
      </c>
      <c r="Q29" s="66" t="n"/>
      <c r="R29" s="92" t="n"/>
      <c r="S29">
        <f>IFERROR(VLOOKUP(B29,'Salary sheet'!$B$3:$N$500,5,0),"")</f>
        <v/>
      </c>
    </row>
    <row r="30" ht="14.25" customHeight="1" s="103">
      <c r="A30" s="18" t="inlineStr">
        <is>
          <t>INF0028</t>
        </is>
      </c>
      <c r="B30" s="18" t="inlineStr">
        <is>
          <t>Ashutosh Kumar Pandey</t>
        </is>
      </c>
      <c r="C30" s="18" t="inlineStr">
        <is>
          <t>Rajeshwar Nath Pandey</t>
        </is>
      </c>
      <c r="D30" s="69" t="n"/>
      <c r="E30" s="70" t="n">
        <v>34248</v>
      </c>
      <c r="F30" s="18" t="inlineStr">
        <is>
          <t>Male</t>
        </is>
      </c>
      <c r="G30" s="67" t="n">
        <v>46092</v>
      </c>
      <c r="H30" s="14" t="n"/>
      <c r="I30" s="14" t="n"/>
      <c r="J30" s="18" t="inlineStr">
        <is>
          <t>CVWPP6495D</t>
        </is>
      </c>
      <c r="K30" s="14" t="n"/>
      <c r="L30" s="14" t="inlineStr">
        <is>
          <t>HDFC Bank</t>
        </is>
      </c>
      <c r="M30" s="14" t="inlineStr">
        <is>
          <t>50100352617084</t>
        </is>
      </c>
      <c r="N30" s="18" t="inlineStr">
        <is>
          <t>HDFC0000394</t>
        </is>
      </c>
      <c r="O30" s="69" t="n"/>
      <c r="P30" s="69" t="n"/>
      <c r="Q30" s="69" t="n"/>
      <c r="S30">
        <f>IFERROR(VLOOKUP(B30,'Salary sheet'!$B$3:$N$500,5,0),"")</f>
        <v/>
      </c>
    </row>
    <row r="31" ht="14.25" customHeight="1" s="103">
      <c r="A31" s="18" t="inlineStr">
        <is>
          <t>INF0030</t>
        </is>
      </c>
      <c r="B31" s="18" t="inlineStr">
        <is>
          <t>Hari Shankar Mishra</t>
        </is>
      </c>
      <c r="C31" s="64" t="inlineStr">
        <is>
          <t>Raghvendra Mishra</t>
        </is>
      </c>
      <c r="D31" s="69" t="inlineStr">
        <is>
          <t>harrymishra65@gmail.com</t>
        </is>
      </c>
      <c r="E31" s="71" t="n">
        <v>35510</v>
      </c>
      <c r="F31" s="18" t="inlineStr">
        <is>
          <t>Mail</t>
        </is>
      </c>
      <c r="G31" s="68" t="n">
        <v>46167</v>
      </c>
      <c r="H31" s="14" t="n"/>
      <c r="I31" s="14" t="n"/>
      <c r="J31" s="64" t="inlineStr">
        <is>
          <t>DFNPM3198L</t>
        </is>
      </c>
      <c r="K31" s="14" t="n"/>
      <c r="L31" s="69" t="inlineStr">
        <is>
          <t>Axis Bank</t>
        </is>
      </c>
      <c r="M31" s="69" t="inlineStr">
        <is>
          <t>921010019880957</t>
        </is>
      </c>
      <c r="N31" s="64" t="inlineStr">
        <is>
          <t>UTIB0004486</t>
        </is>
      </c>
      <c r="O31" s="69" t="n"/>
      <c r="P31" s="69" t="n"/>
      <c r="Q31" s="69" t="n"/>
      <c r="S31">
        <f>IFERROR(VLOOKUP(B31,'Salary sheet'!$B$3:$N$500,5,0),"")</f>
        <v/>
      </c>
    </row>
    <row r="32" ht="14.25" customHeight="1" s="103">
      <c r="A32" s="18" t="inlineStr">
        <is>
          <t>INF0031</t>
        </is>
      </c>
      <c r="B32" s="18" t="inlineStr">
        <is>
          <t>SUDHANSHU KUMAR RATURI</t>
        </is>
      </c>
      <c r="C32" s="64" t="n"/>
      <c r="D32" s="69" t="n"/>
      <c r="E32" s="71" t="n"/>
      <c r="F32" s="18" t="n"/>
      <c r="G32" s="68" t="n"/>
      <c r="H32" s="14" t="n"/>
      <c r="I32" s="14" t="n"/>
      <c r="J32" s="64" t="n"/>
      <c r="K32" s="14" t="n"/>
      <c r="L32" s="69" t="n"/>
      <c r="M32" s="69" t="n"/>
      <c r="N32" s="64" t="n"/>
      <c r="O32" s="69" t="n"/>
      <c r="P32" s="69" t="n"/>
      <c r="Q32" s="69" t="n"/>
      <c r="S32">
        <f>IFERROR(VLOOKUP(B32,'Salary sheet'!$B$3:$N$500,5,0),"")</f>
        <v/>
      </c>
    </row>
    <row r="33">
      <c r="A33" s="18" t="inlineStr">
        <is>
          <t>INF0032</t>
        </is>
      </c>
      <c r="B33" s="81" t="inlineStr">
        <is>
          <t>Shivam Vashishtha</t>
        </is>
      </c>
      <c r="C33" s="81" t="inlineStr">
        <is>
          <t>Naresh Kumar Sharma</t>
        </is>
      </c>
      <c r="D33" s="82" t="inlineStr">
        <is>
          <t>svashishtha1999@gmail.com</t>
        </is>
      </c>
      <c r="E33" s="83" t="n">
        <v>36181</v>
      </c>
      <c r="F33" s="81" t="inlineStr">
        <is>
          <t>Male</t>
        </is>
      </c>
      <c r="G33" s="84" t="n">
        <v>46176</v>
      </c>
      <c r="H33" s="85" t="inlineStr">
        <is>
          <t>101492404025</t>
        </is>
      </c>
      <c r="I33" s="86" t="n"/>
      <c r="J33" s="81" t="inlineStr">
        <is>
          <t>BGVPV3625C</t>
        </is>
      </c>
      <c r="K33" s="86" t="n"/>
      <c r="L33" s="81" t="inlineStr">
        <is>
          <t>Kotak Mahindra Bank</t>
        </is>
      </c>
      <c r="M33" s="81" t="n">
        <v>2849302628</v>
      </c>
      <c r="N33" s="81" t="inlineStr">
        <is>
          <t>KKBK0000176</t>
        </is>
      </c>
      <c r="O33" s="81" t="inlineStr">
        <is>
          <t>Development</t>
        </is>
      </c>
      <c r="P33" s="87" t="inlineStr">
        <is>
          <t>Senior Backend Developer</t>
        </is>
      </c>
      <c r="Q33" s="87" t="n"/>
      <c r="R33" s="91" t="n"/>
      <c r="S33">
        <f>IFERROR(VLOOKUP(B33,'Salary sheet'!$B$3:$N$500,5,0),"")</f>
        <v/>
      </c>
    </row>
    <row r="34">
      <c r="A34" s="18" t="inlineStr">
        <is>
          <t>INF0033</t>
        </is>
      </c>
      <c r="B34" s="81" t="inlineStr">
        <is>
          <t>Shivam singh</t>
        </is>
      </c>
      <c r="C34" s="81" t="inlineStr">
        <is>
          <t>Rajesh Kumar Singh</t>
        </is>
      </c>
      <c r="D34" s="82" t="inlineStr">
        <is>
          <t>shivamsingh.singh7007@gmail.com</t>
        </is>
      </c>
      <c r="E34" s="83" t="n">
        <v>35928</v>
      </c>
      <c r="F34" s="81" t="inlineStr">
        <is>
          <t>Male</t>
        </is>
      </c>
      <c r="G34" s="84" t="n">
        <v>46212</v>
      </c>
      <c r="H34" s="85" t="n">
        <v>101511984939</v>
      </c>
      <c r="I34" s="86" t="n"/>
      <c r="J34" s="81" t="inlineStr">
        <is>
          <t>MGXPS7331H</t>
        </is>
      </c>
      <c r="K34" s="86" t="n"/>
      <c r="L34" s="81" t="inlineStr">
        <is>
          <t>HDFC</t>
        </is>
      </c>
      <c r="M34" s="81" t="n">
        <v>50100317765356</v>
      </c>
      <c r="N34" s="81" t="inlineStr">
        <is>
          <t>HDFC0004716</t>
        </is>
      </c>
      <c r="O34" s="81" t="n"/>
      <c r="P34" s="87" t="n"/>
      <c r="Q34" s="87" t="n"/>
      <c r="R34" s="91" t="n"/>
      <c r="S34">
        <f>IFERROR(VLOOKUP(B34,'Salary sheet'!$B$3:$N$500,5,0),"")</f>
        <v/>
      </c>
    </row>
    <row r="35">
      <c r="A35" s="18" t="inlineStr">
        <is>
          <t>INF0034</t>
        </is>
      </c>
      <c r="B35" s="81" t="inlineStr">
        <is>
          <t>Vivek Kaul</t>
        </is>
      </c>
      <c r="C35" s="81" t="inlineStr">
        <is>
          <t>Prediman Krishen Kaul</t>
        </is>
      </c>
      <c r="D35" s="82" t="inlineStr">
        <is>
          <t>Vivekkaul143@gmail.com</t>
        </is>
      </c>
      <c r="E35" s="83" t="inlineStr">
        <is>
          <t>28.01.1989</t>
        </is>
      </c>
      <c r="F35" s="81" t="inlineStr">
        <is>
          <t>MALE</t>
        </is>
      </c>
      <c r="G35" s="84" t="inlineStr">
        <is>
          <t>29.06.2026</t>
        </is>
      </c>
      <c r="H35" s="86" t="inlineStr">
        <is>
          <t>101310710438</t>
        </is>
      </c>
      <c r="I35" s="81" t="n"/>
      <c r="J35" s="81" t="inlineStr">
        <is>
          <t>AZGPK3437L</t>
        </is>
      </c>
      <c r="K35" s="81" t="n"/>
      <c r="L35" s="81" t="inlineStr">
        <is>
          <t>HDFC</t>
        </is>
      </c>
      <c r="M35" s="86" t="inlineStr">
        <is>
          <t>50100287248072</t>
        </is>
      </c>
      <c r="N35" s="81" t="inlineStr">
        <is>
          <t>HDFC0001897</t>
        </is>
      </c>
      <c r="O35" s="81" t="inlineStr">
        <is>
          <t>AI</t>
        </is>
      </c>
      <c r="P35" s="87" t="inlineStr">
        <is>
          <t>AI engineer</t>
        </is>
      </c>
      <c r="Q35" s="87" t="inlineStr">
        <is>
          <t>NA</t>
        </is>
      </c>
      <c r="S35">
        <f>IFERROR(VLOOKUP(B35,'Salary sheet'!$B$3:$N$500,5,0),"")</f>
        <v/>
      </c>
    </row>
    <row r="36">
      <c r="A36" s="18" t="inlineStr">
        <is>
          <t>INF0035</t>
        </is>
      </c>
      <c r="B36" s="81" t="inlineStr">
        <is>
          <t>Himanshu Singh</t>
        </is>
      </c>
      <c r="C36" s="81" t="inlineStr">
        <is>
          <t>Muniveer Singh</t>
        </is>
      </c>
      <c r="D36" s="82" t="inlineStr">
        <is>
          <t>Himanshusingh110591@gmail.com</t>
        </is>
      </c>
      <c r="E36" s="83" t="n">
        <v>33369</v>
      </c>
      <c r="F36" s="81" t="inlineStr">
        <is>
          <t>Male</t>
        </is>
      </c>
      <c r="G36" s="84" t="n">
        <v>46195</v>
      </c>
      <c r="H36" s="86" t="n">
        <v>101616785909</v>
      </c>
      <c r="I36" s="81" t="n"/>
      <c r="J36" s="81" t="inlineStr">
        <is>
          <t>FPVPS6920G</t>
        </is>
      </c>
      <c r="K36" s="81" t="n"/>
      <c r="L36" s="81" t="inlineStr">
        <is>
          <t>HSBC</t>
        </is>
      </c>
      <c r="M36" s="86" t="inlineStr">
        <is>
          <t>006 544837 006</t>
        </is>
      </c>
      <c r="N36" s="81" t="inlineStr">
        <is>
          <t>HSBC0400002</t>
        </is>
      </c>
      <c r="O36" s="81" t="inlineStr">
        <is>
          <t>AI</t>
        </is>
      </c>
      <c r="P36" s="87" t="inlineStr">
        <is>
          <t>AI Engineer</t>
        </is>
      </c>
      <c r="Q36" s="87" t="n"/>
      <c r="S36">
        <f>IFERROR(VLOOKUP(B36,'Salary sheet'!$B$3:$N$500,5,0),"")</f>
        <v/>
      </c>
    </row>
    <row r="37">
      <c r="A37" s="18" t="inlineStr">
        <is>
          <t>INF0036</t>
        </is>
      </c>
      <c r="B37" s="18" t="inlineStr">
        <is>
          <t>Gaurav Nagar</t>
        </is>
      </c>
      <c r="C37" s="18" t="inlineStr">
        <is>
          <t>Tejpal Singh</t>
        </is>
      </c>
      <c r="D37" s="82" t="inlineStr">
        <is>
          <t>gauravnagar033@gmail.com</t>
        </is>
      </c>
      <c r="E37" s="56" t="n">
        <v>34791</v>
      </c>
      <c r="F37" s="18" t="inlineStr">
        <is>
          <t>Male</t>
        </is>
      </c>
      <c r="G37" s="57" t="n">
        <v>46216</v>
      </c>
      <c r="H37" s="62" t="inlineStr">
        <is>
          <t>101812108547</t>
        </is>
      </c>
      <c r="I37" s="18" t="inlineStr">
        <is>
          <t>MRNOI00487130000017472</t>
        </is>
      </c>
      <c r="J37" s="18" t="inlineStr">
        <is>
          <t>BOPPN2345H</t>
        </is>
      </c>
      <c r="K37" s="18" t="inlineStr">
        <is>
          <t>-</t>
        </is>
      </c>
      <c r="L37" s="18" t="inlineStr">
        <is>
          <t>ICICI BANK</t>
        </is>
      </c>
      <c r="M37" s="72" t="inlineStr">
        <is>
          <t>414501508873</t>
        </is>
      </c>
      <c r="N37" s="18" t="inlineStr">
        <is>
          <t>ICIC0004145</t>
        </is>
      </c>
      <c r="O37" s="18" t="inlineStr">
        <is>
          <t>NA</t>
        </is>
      </c>
      <c r="P37" s="58" t="inlineStr">
        <is>
          <t>NA</t>
        </is>
      </c>
      <c r="Q37" s="58" t="inlineStr">
        <is>
          <t>NA</t>
        </is>
      </c>
      <c r="S37">
        <f>IFERROR(VLOOKUP(B37,'Salary sheet'!$B$3:$N$500,5,0),"")</f>
        <v/>
      </c>
    </row>
    <row r="38">
      <c r="S38" s="88">
        <f>IFERROR(VLOOKUP(B38,'Salary sheet'!$B$3:$N$500,5,0),"")</f>
        <v/>
      </c>
    </row>
    <row r="39">
      <c r="S39" s="88">
        <f>IFERROR(VLOOKUP(B39,'Salary sheet'!$B$3:$N$500,5,0),"")</f>
        <v/>
      </c>
    </row>
    <row r="40">
      <c r="S40" s="88">
        <f>IFERROR(VLOOKUP(B40,'Salary sheet'!$B$3:$N$500,5,0),"")</f>
        <v/>
      </c>
    </row>
    <row r="41">
      <c r="S41" s="88">
        <f>IFERROR(VLOOKUP(B41,'Salary sheet'!$B$3:$N$500,5,0),"")</f>
        <v/>
      </c>
    </row>
    <row r="42">
      <c r="S42" s="88">
        <f>IFERROR(VLOOKUP(B42,'Salary sheet'!$B$3:$N$500,5,0),"")</f>
        <v/>
      </c>
    </row>
    <row r="43">
      <c r="S43" s="88">
        <f>IFERROR(VLOOKUP(B43,'Salary sheet'!$B$3:$N$500,5,0),"")</f>
        <v/>
      </c>
    </row>
    <row r="44">
      <c r="S44" s="88">
        <f>IFERROR(VLOOKUP(B44,'Salary sheet'!$B$3:$N$500,5,0),"")</f>
        <v/>
      </c>
    </row>
    <row r="45">
      <c r="S45" s="88">
        <f>IFERROR(VLOOKUP(B45,'Salary sheet'!$B$3:$N$500,5,0),"")</f>
        <v/>
      </c>
    </row>
    <row r="46">
      <c r="S46" s="88">
        <f>IFERROR(VLOOKUP(B46,'Salary sheet'!$B$3:$N$500,5,0),"")</f>
        <v/>
      </c>
    </row>
    <row r="47">
      <c r="S47" s="88">
        <f>IFERROR(VLOOKUP(B47,'Salary sheet'!$B$3:$N$500,5,0),"")</f>
        <v/>
      </c>
    </row>
    <row r="48">
      <c r="S48" s="88">
        <f>IFERROR(VLOOKUP(B48,'Salary sheet'!$B$3:$N$500,5,0),"")</f>
        <v/>
      </c>
    </row>
    <row r="49">
      <c r="S49" s="88">
        <f>IFERROR(VLOOKUP(B49,'Salary sheet'!$B$3:$N$500,5,0),"")</f>
        <v/>
      </c>
    </row>
    <row r="50">
      <c r="S50" s="88">
        <f>IFERROR(VLOOKUP(B50,'Salary sheet'!$B$3:$N$500,5,0),"")</f>
        <v/>
      </c>
    </row>
    <row r="51">
      <c r="S51" s="88">
        <f>IFERROR(VLOOKUP(B51,'Salary sheet'!$B$3:$N$500,5,0),"")</f>
        <v/>
      </c>
    </row>
    <row r="52">
      <c r="S52" s="88">
        <f>IFERROR(VLOOKUP(B52,'Salary sheet'!$B$3:$N$500,5,0),"")</f>
        <v/>
      </c>
    </row>
    <row r="53">
      <c r="S53" s="88">
        <f>IFERROR(VLOOKUP(B53,'Salary sheet'!$B$3:$N$500,5,0),"")</f>
        <v/>
      </c>
    </row>
    <row r="54">
      <c r="S54" s="88">
        <f>IFERROR(VLOOKUP(B54,'Salary sheet'!$B$3:$N$500,5,0),"")</f>
        <v/>
      </c>
    </row>
    <row r="55">
      <c r="S55" s="88">
        <f>IFERROR(VLOOKUP(B55,'Salary sheet'!$B$3:$N$500,5,0),"")</f>
        <v/>
      </c>
    </row>
    <row r="56">
      <c r="S56" s="88">
        <f>IFERROR(VLOOKUP(B56,'Salary sheet'!$B$3:$N$500,5,0),"")</f>
        <v/>
      </c>
    </row>
    <row r="57">
      <c r="S57" s="88">
        <f>IFERROR(VLOOKUP(B57,'Salary sheet'!$B$3:$N$500,5,0),"")</f>
        <v/>
      </c>
    </row>
    <row r="58">
      <c r="S58" s="88">
        <f>IFERROR(VLOOKUP(B58,'Salary sheet'!$B$3:$N$500,5,0),"")</f>
        <v/>
      </c>
    </row>
    <row r="59">
      <c r="S59" s="88">
        <f>IFERROR(VLOOKUP(B59,'Salary sheet'!$B$3:$N$500,5,0),"")</f>
        <v/>
      </c>
    </row>
    <row r="60">
      <c r="S60" s="88">
        <f>IFERROR(VLOOKUP(B60,'Salary sheet'!$B$3:$N$500,5,0),"")</f>
        <v/>
      </c>
    </row>
    <row r="61">
      <c r="S61" s="88">
        <f>IFERROR(VLOOKUP(B61,'Salary sheet'!$B$3:$N$500,5,0),"")</f>
        <v/>
      </c>
    </row>
    <row r="62">
      <c r="S62" s="88">
        <f>IFERROR(VLOOKUP(B62,'Salary sheet'!$B$3:$N$500,5,0),"")</f>
        <v/>
      </c>
    </row>
    <row r="63">
      <c r="S63" s="88">
        <f>IFERROR(VLOOKUP(B63,'Salary sheet'!$B$3:$N$500,5,0),"")</f>
        <v/>
      </c>
    </row>
    <row r="64">
      <c r="S64" s="88">
        <f>IFERROR(VLOOKUP(B64,'Salary sheet'!$B$3:$N$500,5,0),"")</f>
        <v/>
      </c>
    </row>
    <row r="65">
      <c r="S65" s="88">
        <f>IFERROR(VLOOKUP(B65,'Salary sheet'!$B$3:$N$500,5,0),"")</f>
        <v/>
      </c>
    </row>
    <row r="66">
      <c r="S66" s="88">
        <f>IFERROR(VLOOKUP(B66,'Salary sheet'!$B$3:$N$500,5,0),"")</f>
        <v/>
      </c>
    </row>
    <row r="67">
      <c r="S67" s="88">
        <f>IFERROR(VLOOKUP(B67,'Salary sheet'!$B$3:$N$500,5,0),"")</f>
        <v/>
      </c>
    </row>
    <row r="68">
      <c r="S68" s="88">
        <f>IFERROR(VLOOKUP(B68,'Salary sheet'!$B$3:$N$500,5,0),"")</f>
        <v/>
      </c>
    </row>
    <row r="69">
      <c r="S69" s="88">
        <f>IFERROR(VLOOKUP(B69,'Salary sheet'!$B$3:$N$500,5,0),"")</f>
        <v/>
      </c>
    </row>
    <row r="70">
      <c r="S70" s="88">
        <f>IFERROR(VLOOKUP(B70,'Salary sheet'!$B$3:$N$500,5,0),"")</f>
        <v/>
      </c>
    </row>
    <row r="71">
      <c r="S71" s="88">
        <f>IFERROR(VLOOKUP(B71,'Salary sheet'!$B$3:$N$500,5,0),"")</f>
        <v/>
      </c>
    </row>
    <row r="72">
      <c r="S72" s="88">
        <f>IFERROR(VLOOKUP(B72,'Salary sheet'!$B$3:$N$500,5,0),"")</f>
        <v/>
      </c>
    </row>
    <row r="73">
      <c r="S73" s="88">
        <f>IFERROR(VLOOKUP(B73,'Salary sheet'!$B$3:$N$500,5,0),"")</f>
        <v/>
      </c>
    </row>
    <row r="74">
      <c r="S74" s="88">
        <f>IFERROR(VLOOKUP(B74,'Salary sheet'!$B$3:$N$500,5,0),"")</f>
        <v/>
      </c>
    </row>
    <row r="75">
      <c r="S75" s="88">
        <f>IFERROR(VLOOKUP(B75,'Salary sheet'!$B$3:$N$500,5,0),"")</f>
        <v/>
      </c>
    </row>
    <row r="76">
      <c r="S76" s="88">
        <f>IFERROR(VLOOKUP(B76,'Salary sheet'!$B$3:$N$500,5,0),"")</f>
        <v/>
      </c>
    </row>
    <row r="77">
      <c r="S77" s="88">
        <f>IFERROR(VLOOKUP(B77,'Salary sheet'!$B$3:$N$500,5,0),"")</f>
        <v/>
      </c>
    </row>
    <row r="78">
      <c r="S78" s="88">
        <f>IFERROR(VLOOKUP(B78,'Salary sheet'!$B$3:$N$500,5,0),"")</f>
        <v/>
      </c>
    </row>
    <row r="79">
      <c r="S79" s="88">
        <f>IFERROR(VLOOKUP(B79,'Salary sheet'!$B$3:$N$500,5,0),"")</f>
        <v/>
      </c>
    </row>
    <row r="80">
      <c r="S80" s="88">
        <f>IFERROR(VLOOKUP(B80,'Salary sheet'!$B$3:$N$500,5,0),"")</f>
        <v/>
      </c>
    </row>
    <row r="81">
      <c r="S81" s="88">
        <f>IFERROR(VLOOKUP(B81,'Salary sheet'!$B$3:$N$500,5,0),"")</f>
        <v/>
      </c>
    </row>
    <row r="82">
      <c r="S82" s="88">
        <f>IFERROR(VLOOKUP(B82,'Salary sheet'!$B$3:$N$500,5,0),"")</f>
        <v/>
      </c>
    </row>
    <row r="83">
      <c r="S83" s="88">
        <f>IFERROR(VLOOKUP(B83,'Salary sheet'!$B$3:$N$500,5,0),"")</f>
        <v/>
      </c>
    </row>
    <row r="84">
      <c r="S84" s="88">
        <f>IFERROR(VLOOKUP(B84,'Salary sheet'!$B$3:$N$500,5,0),"")</f>
        <v/>
      </c>
    </row>
    <row r="85">
      <c r="S85" s="88">
        <f>IFERROR(VLOOKUP(B85,'Salary sheet'!$B$3:$N$500,5,0),"")</f>
        <v/>
      </c>
    </row>
    <row r="86">
      <c r="S86" s="88">
        <f>IFERROR(VLOOKUP(B86,'Salary sheet'!$B$3:$N$500,5,0),"")</f>
        <v/>
      </c>
    </row>
    <row r="87">
      <c r="S87" s="88">
        <f>IFERROR(VLOOKUP(B87,'Salary sheet'!$B$3:$N$500,5,0),"")</f>
        <v/>
      </c>
    </row>
    <row r="88">
      <c r="S88" s="88">
        <f>IFERROR(VLOOKUP(B88,'Salary sheet'!$B$3:$N$500,5,0),"")</f>
        <v/>
      </c>
    </row>
    <row r="89">
      <c r="S89" s="88">
        <f>IFERROR(VLOOKUP(B89,'Salary sheet'!$B$3:$N$500,5,0),"")</f>
        <v/>
      </c>
    </row>
    <row r="90">
      <c r="S90" s="88">
        <f>IFERROR(VLOOKUP(B90,'Salary sheet'!$B$3:$N$500,5,0),"")</f>
        <v/>
      </c>
    </row>
    <row r="91">
      <c r="S91" s="88">
        <f>IFERROR(VLOOKUP(B91,'Salary sheet'!$B$3:$N$500,5,0),"")</f>
        <v/>
      </c>
    </row>
    <row r="92">
      <c r="S92" s="88">
        <f>IFERROR(VLOOKUP(B92,'Salary sheet'!$B$3:$N$500,5,0),"")</f>
        <v/>
      </c>
    </row>
    <row r="93">
      <c r="S93" s="88">
        <f>IFERROR(VLOOKUP(B93,'Salary sheet'!$B$3:$N$500,5,0),"")</f>
        <v/>
      </c>
    </row>
    <row r="94">
      <c r="S94" s="88">
        <f>IFERROR(VLOOKUP(B94,'Salary sheet'!$B$3:$N$500,5,0),"")</f>
        <v/>
      </c>
    </row>
    <row r="95">
      <c r="S95" s="88">
        <f>IFERROR(VLOOKUP(B95,'Salary sheet'!$B$3:$N$500,5,0),"")</f>
        <v/>
      </c>
    </row>
    <row r="96">
      <c r="S96" s="88">
        <f>IFERROR(VLOOKUP(B96,'Salary sheet'!$B$3:$N$500,5,0),"")</f>
        <v/>
      </c>
    </row>
    <row r="97">
      <c r="S97" s="88">
        <f>IFERROR(VLOOKUP(B97,'Salary sheet'!$B$3:$N$500,5,0),"")</f>
        <v/>
      </c>
    </row>
    <row r="98">
      <c r="S98" s="88">
        <f>IFERROR(VLOOKUP(B98,'Salary sheet'!$B$3:$N$500,5,0),"")</f>
        <v/>
      </c>
    </row>
    <row r="99">
      <c r="S99" s="88">
        <f>IFERROR(VLOOKUP(B99,'Salary sheet'!$B$3:$N$500,5,0),"")</f>
        <v/>
      </c>
    </row>
    <row r="100">
      <c r="S100" s="88">
        <f>IFERROR(VLOOKUP(B100,'Salary sheet'!$B$3:$N$500,5,0),"")</f>
        <v/>
      </c>
    </row>
    <row r="101">
      <c r="S101" s="88">
        <f>IFERROR(VLOOKUP(B101,'Salary sheet'!$B$3:$N$500,5,0),"")</f>
        <v/>
      </c>
    </row>
    <row r="102">
      <c r="S102" s="88">
        <f>IFERROR(VLOOKUP(B102,'Salary sheet'!$B$3:$N$500,5,0),"")</f>
        <v/>
      </c>
    </row>
    <row r="103">
      <c r="S103" s="88">
        <f>IFERROR(VLOOKUP(B103,'Salary sheet'!$B$3:$N$500,5,0),"")</f>
        <v/>
      </c>
    </row>
    <row r="104">
      <c r="S104" s="88">
        <f>IFERROR(VLOOKUP(B104,'Salary sheet'!$B$3:$N$500,5,0),"")</f>
        <v/>
      </c>
    </row>
    <row r="105">
      <c r="S105" s="88">
        <f>IFERROR(VLOOKUP(B105,'Salary sheet'!$B$3:$N$500,5,0),"")</f>
        <v/>
      </c>
    </row>
    <row r="106">
      <c r="S106" s="88">
        <f>IFERROR(VLOOKUP(B106,'Salary sheet'!$B$3:$N$500,5,0),"")</f>
        <v/>
      </c>
    </row>
    <row r="107">
      <c r="S107" s="88">
        <f>IFERROR(VLOOKUP(B107,'Salary sheet'!$B$3:$N$500,5,0),"")</f>
        <v/>
      </c>
    </row>
    <row r="108">
      <c r="S108" s="88">
        <f>IFERROR(VLOOKUP(B108,'Salary sheet'!$B$3:$N$500,5,0),"")</f>
        <v/>
      </c>
    </row>
    <row r="109">
      <c r="S109" s="88">
        <f>IFERROR(VLOOKUP(B109,'Salary sheet'!$B$3:$N$500,5,0),"")</f>
        <v/>
      </c>
    </row>
    <row r="110">
      <c r="S110" s="88">
        <f>IFERROR(VLOOKUP(B110,'Salary sheet'!$B$3:$N$500,5,0),"")</f>
        <v/>
      </c>
    </row>
    <row r="111">
      <c r="S111" s="88">
        <f>IFERROR(VLOOKUP(B111,'Salary sheet'!$B$3:$N$500,5,0),"")</f>
        <v/>
      </c>
    </row>
    <row r="112">
      <c r="S112" s="88">
        <f>IFERROR(VLOOKUP(B112,'Salary sheet'!$B$3:$N$500,5,0),"")</f>
        <v/>
      </c>
    </row>
    <row r="113">
      <c r="S113" s="88">
        <f>IFERROR(VLOOKUP(B113,'Salary sheet'!$B$3:$N$500,5,0),"")</f>
        <v/>
      </c>
    </row>
    <row r="114">
      <c r="S114" s="88">
        <f>IFERROR(VLOOKUP(B114,'Salary sheet'!$B$3:$N$500,5,0),"")</f>
        <v/>
      </c>
    </row>
    <row r="115">
      <c r="S115" s="88">
        <f>IFERROR(VLOOKUP(B115,'Salary sheet'!$B$3:$N$500,5,0),"")</f>
        <v/>
      </c>
    </row>
    <row r="116">
      <c r="S116" s="88">
        <f>IFERROR(VLOOKUP(B116,'Salary sheet'!$B$3:$N$500,5,0),"")</f>
        <v/>
      </c>
    </row>
    <row r="117">
      <c r="S117" s="88">
        <f>IFERROR(VLOOKUP(B117,'Salary sheet'!$B$3:$N$500,5,0),"")</f>
        <v/>
      </c>
    </row>
    <row r="118">
      <c r="S118" s="88">
        <f>IFERROR(VLOOKUP(B118,'Salary sheet'!$B$3:$N$500,5,0),"")</f>
        <v/>
      </c>
    </row>
    <row r="119">
      <c r="S119" s="88">
        <f>IFERROR(VLOOKUP(B119,'Salary sheet'!$B$3:$N$500,5,0),"")</f>
        <v/>
      </c>
    </row>
    <row r="120">
      <c r="S120" s="88">
        <f>IFERROR(VLOOKUP(B120,'Salary sheet'!$B$3:$N$500,5,0),"")</f>
        <v/>
      </c>
    </row>
    <row r="121">
      <c r="S121" s="88">
        <f>IFERROR(VLOOKUP(B121,'Salary sheet'!$B$3:$N$500,5,0),"")</f>
        <v/>
      </c>
    </row>
    <row r="122">
      <c r="S122" s="88">
        <f>IFERROR(VLOOKUP(B122,'Salary sheet'!$B$3:$N$500,5,0),"")</f>
        <v/>
      </c>
    </row>
    <row r="123">
      <c r="S123" s="88">
        <f>IFERROR(VLOOKUP(B123,'Salary sheet'!$B$3:$N$500,5,0),"")</f>
        <v/>
      </c>
    </row>
    <row r="124">
      <c r="S124" s="88">
        <f>IFERROR(VLOOKUP(B124,'Salary sheet'!$B$3:$N$500,5,0),"")</f>
        <v/>
      </c>
    </row>
    <row r="125">
      <c r="S125" s="88">
        <f>IFERROR(VLOOKUP(B125,'Salary sheet'!$B$3:$N$500,5,0),"")</f>
        <v/>
      </c>
    </row>
    <row r="126">
      <c r="S126" s="88">
        <f>IFERROR(VLOOKUP(B126,'Salary sheet'!$B$3:$N$500,5,0),"")</f>
        <v/>
      </c>
    </row>
    <row r="127">
      <c r="S127" s="88">
        <f>IFERROR(VLOOKUP(B127,'Salary sheet'!$B$3:$N$500,5,0),"")</f>
        <v/>
      </c>
    </row>
    <row r="128">
      <c r="S128" s="88">
        <f>IFERROR(VLOOKUP(B128,'Salary sheet'!$B$3:$N$500,5,0),"")</f>
        <v/>
      </c>
    </row>
    <row r="129">
      <c r="S129" s="88">
        <f>IFERROR(VLOOKUP(B129,'Salary sheet'!$B$3:$N$500,5,0),"")</f>
        <v/>
      </c>
    </row>
    <row r="130">
      <c r="S130" s="88">
        <f>IFERROR(VLOOKUP(B130,'Salary sheet'!$B$3:$N$500,5,0),"")</f>
        <v/>
      </c>
    </row>
    <row r="131">
      <c r="S131" s="88">
        <f>IFERROR(VLOOKUP(B131,'Salary sheet'!$B$3:$N$500,5,0),"")</f>
        <v/>
      </c>
    </row>
    <row r="132">
      <c r="S132" s="88">
        <f>IFERROR(VLOOKUP(B132,'Salary sheet'!$B$3:$N$500,5,0),"")</f>
        <v/>
      </c>
    </row>
    <row r="133">
      <c r="S133" s="88">
        <f>IFERROR(VLOOKUP(B133,'Salary sheet'!$B$3:$N$500,5,0),"")</f>
        <v/>
      </c>
    </row>
    <row r="134">
      <c r="S134" s="88">
        <f>IFERROR(VLOOKUP(B134,'Salary sheet'!$B$3:$N$500,5,0),"")</f>
        <v/>
      </c>
    </row>
    <row r="135">
      <c r="S135" s="88">
        <f>IFERROR(VLOOKUP(B135,'Salary sheet'!$B$3:$N$500,5,0),"")</f>
        <v/>
      </c>
    </row>
    <row r="136">
      <c r="S136" s="88">
        <f>IFERROR(VLOOKUP(B136,'Salary sheet'!$B$3:$N$500,5,0),"")</f>
        <v/>
      </c>
    </row>
    <row r="137">
      <c r="S137" s="88">
        <f>IFERROR(VLOOKUP(B137,'Salary sheet'!$B$3:$N$500,5,0),"")</f>
        <v/>
      </c>
    </row>
    <row r="138">
      <c r="S138" s="88">
        <f>IFERROR(VLOOKUP(B138,'Salary sheet'!$B$3:$N$500,5,0),"")</f>
        <v/>
      </c>
    </row>
    <row r="139">
      <c r="S139" s="88">
        <f>IFERROR(VLOOKUP(B139,'Salary sheet'!$B$3:$N$500,5,0),"")</f>
        <v/>
      </c>
    </row>
    <row r="140">
      <c r="S140" s="88">
        <f>IFERROR(VLOOKUP(B140,'Salary sheet'!$B$3:$N$500,5,0),"")</f>
        <v/>
      </c>
    </row>
    <row r="141">
      <c r="S141" s="88">
        <f>IFERROR(VLOOKUP(B141,'Salary sheet'!$B$3:$N$500,5,0),"")</f>
        <v/>
      </c>
    </row>
    <row r="142">
      <c r="S142" s="88">
        <f>IFERROR(VLOOKUP(B142,'Salary sheet'!$B$3:$N$500,5,0),"")</f>
        <v/>
      </c>
    </row>
    <row r="143">
      <c r="S143" s="88">
        <f>IFERROR(VLOOKUP(B143,'Salary sheet'!$B$3:$N$500,5,0),"")</f>
        <v/>
      </c>
    </row>
    <row r="144">
      <c r="S144" s="88">
        <f>IFERROR(VLOOKUP(B144,'Salary sheet'!$B$3:$N$500,5,0),"")</f>
        <v/>
      </c>
    </row>
    <row r="145">
      <c r="S145" s="88">
        <f>IFERROR(VLOOKUP(B145,'Salary sheet'!$B$3:$N$500,5,0),"")</f>
        <v/>
      </c>
    </row>
    <row r="146">
      <c r="S146" s="88">
        <f>IFERROR(VLOOKUP(B146,'Salary sheet'!$B$3:$N$500,5,0),"")</f>
        <v/>
      </c>
    </row>
    <row r="147">
      <c r="S147" s="88">
        <f>IFERROR(VLOOKUP(B147,'Salary sheet'!$B$3:$N$500,5,0),"")</f>
        <v/>
      </c>
    </row>
    <row r="148">
      <c r="S148" s="88">
        <f>IFERROR(VLOOKUP(B148,'Salary sheet'!$B$3:$N$500,5,0),"")</f>
        <v/>
      </c>
    </row>
    <row r="149">
      <c r="S149" s="88">
        <f>IFERROR(VLOOKUP(B149,'Salary sheet'!$B$3:$N$500,5,0),"")</f>
        <v/>
      </c>
    </row>
    <row r="150">
      <c r="S150" s="88">
        <f>IFERROR(VLOOKUP(B150,'Salary sheet'!$B$3:$N$500,5,0),"")</f>
        <v/>
      </c>
    </row>
    <row r="151">
      <c r="S151" s="88">
        <f>IFERROR(VLOOKUP(B151,'Salary sheet'!$B$3:$N$500,5,0),"")</f>
        <v/>
      </c>
    </row>
    <row r="152">
      <c r="S152" s="88">
        <f>IFERROR(VLOOKUP(B152,'Salary sheet'!$B$3:$N$500,5,0),"")</f>
        <v/>
      </c>
    </row>
    <row r="153">
      <c r="S153" s="88">
        <f>IFERROR(VLOOKUP(B153,'Salary sheet'!$B$3:$N$500,5,0),"")</f>
        <v/>
      </c>
    </row>
    <row r="154">
      <c r="S154" s="88">
        <f>IFERROR(VLOOKUP(B154,'Salary sheet'!$B$3:$N$500,5,0),"")</f>
        <v/>
      </c>
    </row>
    <row r="155">
      <c r="S155" s="88">
        <f>IFERROR(VLOOKUP(B155,'Salary sheet'!$B$3:$N$500,5,0),"")</f>
        <v/>
      </c>
    </row>
    <row r="156">
      <c r="S156" s="88">
        <f>IFERROR(VLOOKUP(B156,'Salary sheet'!$B$3:$N$500,5,0),"")</f>
        <v/>
      </c>
    </row>
    <row r="157">
      <c r="S157" s="88">
        <f>IFERROR(VLOOKUP(B157,'Salary sheet'!$B$3:$N$500,5,0),"")</f>
        <v/>
      </c>
    </row>
    <row r="158">
      <c r="S158" s="88">
        <f>IFERROR(VLOOKUP(B158,'Salary sheet'!$B$3:$N$500,5,0),"")</f>
        <v/>
      </c>
    </row>
    <row r="159">
      <c r="S159" s="88">
        <f>IFERROR(VLOOKUP(B159,'Salary sheet'!$B$3:$N$500,5,0),"")</f>
        <v/>
      </c>
    </row>
    <row r="160">
      <c r="S160" s="88">
        <f>IFERROR(VLOOKUP(B160,'Salary sheet'!$B$3:$N$500,5,0),"")</f>
        <v/>
      </c>
    </row>
    <row r="161">
      <c r="S161" s="88">
        <f>IFERROR(VLOOKUP(B161,'Salary sheet'!$B$3:$N$500,5,0),"")</f>
        <v/>
      </c>
    </row>
    <row r="162">
      <c r="S162" s="88">
        <f>IFERROR(VLOOKUP(B162,'Salary sheet'!$B$3:$N$500,5,0),"")</f>
        <v/>
      </c>
    </row>
    <row r="163">
      <c r="S163" s="88">
        <f>IFERROR(VLOOKUP(B163,'Salary sheet'!$B$3:$N$500,5,0),"")</f>
        <v/>
      </c>
    </row>
    <row r="164">
      <c r="S164" s="88">
        <f>IFERROR(VLOOKUP(B164,'Salary sheet'!$B$3:$N$500,5,0),"")</f>
        <v/>
      </c>
    </row>
    <row r="165">
      <c r="S165" s="88">
        <f>IFERROR(VLOOKUP(B165,'Salary sheet'!$B$3:$N$500,5,0),"")</f>
        <v/>
      </c>
    </row>
    <row r="166">
      <c r="S166" s="88">
        <f>IFERROR(VLOOKUP(B166,'Salary sheet'!$B$3:$N$500,5,0),"")</f>
        <v/>
      </c>
    </row>
    <row r="167">
      <c r="S167" s="88">
        <f>IFERROR(VLOOKUP(B167,'Salary sheet'!$B$3:$N$500,5,0),"")</f>
        <v/>
      </c>
    </row>
    <row r="168">
      <c r="S168" s="88">
        <f>IFERROR(VLOOKUP(B168,'Salary sheet'!$B$3:$N$500,5,0),"")</f>
        <v/>
      </c>
    </row>
    <row r="169">
      <c r="S169" s="88">
        <f>IFERROR(VLOOKUP(B169,'Salary sheet'!$B$3:$N$500,5,0),"")</f>
        <v/>
      </c>
    </row>
    <row r="170">
      <c r="S170" s="88">
        <f>IFERROR(VLOOKUP(B170,'Salary sheet'!$B$3:$N$500,5,0),"")</f>
        <v/>
      </c>
    </row>
    <row r="171">
      <c r="S171" s="88">
        <f>IFERROR(VLOOKUP(B171,'Salary sheet'!$B$3:$N$500,5,0),"")</f>
        <v/>
      </c>
    </row>
    <row r="172">
      <c r="S172" s="88">
        <f>IFERROR(VLOOKUP(B172,'Salary sheet'!$B$3:$N$500,5,0),"")</f>
        <v/>
      </c>
    </row>
    <row r="173">
      <c r="S173" s="88">
        <f>IFERROR(VLOOKUP(B173,'Salary sheet'!$B$3:$N$500,5,0),"")</f>
        <v/>
      </c>
    </row>
    <row r="174">
      <c r="S174" s="88">
        <f>IFERROR(VLOOKUP(B174,'Salary sheet'!$B$3:$N$500,5,0),"")</f>
        <v/>
      </c>
    </row>
    <row r="175">
      <c r="S175" s="88">
        <f>IFERROR(VLOOKUP(B175,'Salary sheet'!$B$3:$N$500,5,0),"")</f>
        <v/>
      </c>
    </row>
    <row r="176">
      <c r="S176" s="88">
        <f>IFERROR(VLOOKUP(B176,'Salary sheet'!$B$3:$N$500,5,0),"")</f>
        <v/>
      </c>
    </row>
    <row r="177">
      <c r="S177" s="88">
        <f>IFERROR(VLOOKUP(B177,'Salary sheet'!$B$3:$N$500,5,0),"")</f>
        <v/>
      </c>
    </row>
    <row r="178">
      <c r="S178" s="88">
        <f>IFERROR(VLOOKUP(B178,'Salary sheet'!$B$3:$N$500,5,0),"")</f>
        <v/>
      </c>
    </row>
    <row r="179">
      <c r="S179" s="88">
        <f>IFERROR(VLOOKUP(B179,'Salary sheet'!$B$3:$N$500,5,0),"")</f>
        <v/>
      </c>
    </row>
    <row r="180">
      <c r="S180" s="88">
        <f>IFERROR(VLOOKUP(B180,'Salary sheet'!$B$3:$N$500,5,0),"")</f>
        <v/>
      </c>
    </row>
    <row r="181">
      <c r="S181" s="88">
        <f>IFERROR(VLOOKUP(B181,'Salary sheet'!$B$3:$N$500,5,0),"")</f>
        <v/>
      </c>
    </row>
    <row r="182">
      <c r="S182" s="88">
        <f>IFERROR(VLOOKUP(B182,'Salary sheet'!$B$3:$N$500,5,0),"")</f>
        <v/>
      </c>
    </row>
    <row r="183">
      <c r="S183" s="88">
        <f>IFERROR(VLOOKUP(B183,'Salary sheet'!$B$3:$N$500,5,0),"")</f>
        <v/>
      </c>
    </row>
    <row r="184">
      <c r="S184" s="88">
        <f>IFERROR(VLOOKUP(B184,'Salary sheet'!$B$3:$N$500,5,0),"")</f>
        <v/>
      </c>
    </row>
    <row r="185">
      <c r="S185" s="88">
        <f>IFERROR(VLOOKUP(B185,'Salary sheet'!$B$3:$N$500,5,0),"")</f>
        <v/>
      </c>
    </row>
    <row r="186">
      <c r="S186" s="88">
        <f>IFERROR(VLOOKUP(B186,'Salary sheet'!$B$3:$N$500,5,0),"")</f>
        <v/>
      </c>
    </row>
    <row r="187">
      <c r="S187" s="88">
        <f>IFERROR(VLOOKUP(B187,'Salary sheet'!$B$3:$N$500,5,0),"")</f>
        <v/>
      </c>
    </row>
    <row r="188">
      <c r="S188" s="88">
        <f>IFERROR(VLOOKUP(B188,'Salary sheet'!$B$3:$N$500,5,0),"")</f>
        <v/>
      </c>
    </row>
    <row r="189">
      <c r="S189" s="88">
        <f>IFERROR(VLOOKUP(B189,'Salary sheet'!$B$3:$N$500,5,0),"")</f>
        <v/>
      </c>
    </row>
    <row r="190">
      <c r="S190" s="88">
        <f>IFERROR(VLOOKUP(B190,'Salary sheet'!$B$3:$N$500,5,0),"")</f>
        <v/>
      </c>
    </row>
    <row r="191">
      <c r="S191" s="88">
        <f>IFERROR(VLOOKUP(B191,'Salary sheet'!$B$3:$N$500,5,0),"")</f>
        <v/>
      </c>
    </row>
    <row r="192">
      <c r="S192" s="88">
        <f>IFERROR(VLOOKUP(B192,'Salary sheet'!$B$3:$N$500,5,0),"")</f>
        <v/>
      </c>
    </row>
    <row r="193">
      <c r="S193" s="88">
        <f>IFERROR(VLOOKUP(B193,'Salary sheet'!$B$3:$N$500,5,0),"")</f>
        <v/>
      </c>
    </row>
    <row r="194">
      <c r="S194" s="88">
        <f>IFERROR(VLOOKUP(B194,'Salary sheet'!$B$3:$N$500,5,0),"")</f>
        <v/>
      </c>
    </row>
    <row r="195">
      <c r="S195" s="88">
        <f>IFERROR(VLOOKUP(B195,'Salary sheet'!$B$3:$N$500,5,0),"")</f>
        <v/>
      </c>
    </row>
    <row r="196">
      <c r="S196" s="88">
        <f>IFERROR(VLOOKUP(B196,'Salary sheet'!$B$3:$N$500,5,0),"")</f>
        <v/>
      </c>
    </row>
    <row r="197">
      <c r="S197" s="88">
        <f>IFERROR(VLOOKUP(B197,'Salary sheet'!$B$3:$N$500,5,0),"")</f>
        <v/>
      </c>
    </row>
    <row r="198">
      <c r="S198" s="88">
        <f>IFERROR(VLOOKUP(B198,'Salary sheet'!$B$3:$N$500,5,0),"")</f>
        <v/>
      </c>
    </row>
    <row r="199">
      <c r="S199" s="88">
        <f>IFERROR(VLOOKUP(B199,'Salary sheet'!$B$3:$N$500,5,0),"")</f>
        <v/>
      </c>
    </row>
    <row r="200">
      <c r="S200" s="88">
        <f>IFERROR(VLOOKUP(B200,'Salary sheet'!$B$3:$N$500,5,0),"")</f>
        <v/>
      </c>
    </row>
    <row r="201">
      <c r="S201" s="88">
        <f>IFERROR(VLOOKUP(B201,'Salary sheet'!$B$3:$N$500,5,0),"")</f>
        <v/>
      </c>
    </row>
    <row r="202">
      <c r="S202" s="88">
        <f>IFERROR(VLOOKUP(B202,'Salary sheet'!$B$3:$N$500,5,0),"")</f>
        <v/>
      </c>
    </row>
    <row r="203">
      <c r="S203" s="88">
        <f>IFERROR(VLOOKUP(B203,'Salary sheet'!$B$3:$N$500,5,0),"")</f>
        <v/>
      </c>
    </row>
    <row r="204">
      <c r="S204" s="88">
        <f>IFERROR(VLOOKUP(B204,'Salary sheet'!$B$3:$N$500,5,0),"")</f>
        <v/>
      </c>
    </row>
    <row r="205">
      <c r="S205" s="88">
        <f>IFERROR(VLOOKUP(B205,'Salary sheet'!$B$3:$N$500,5,0),"")</f>
        <v/>
      </c>
    </row>
    <row r="206">
      <c r="S206" s="88">
        <f>IFERROR(VLOOKUP(B206,'Salary sheet'!$B$3:$N$500,5,0),"")</f>
        <v/>
      </c>
    </row>
    <row r="207">
      <c r="S207" s="88">
        <f>IFERROR(VLOOKUP(B207,'Salary sheet'!$B$3:$N$500,5,0),"")</f>
        <v/>
      </c>
    </row>
    <row r="208">
      <c r="S208" s="88">
        <f>IFERROR(VLOOKUP(B208,'Salary sheet'!$B$3:$N$500,5,0),"")</f>
        <v/>
      </c>
    </row>
    <row r="209">
      <c r="S209" s="88">
        <f>IFERROR(VLOOKUP(B209,'Salary sheet'!$B$3:$N$500,5,0),"")</f>
        <v/>
      </c>
    </row>
    <row r="210">
      <c r="S210" s="88">
        <f>IFERROR(VLOOKUP(B210,'Salary sheet'!$B$3:$N$500,5,0),"")</f>
        <v/>
      </c>
    </row>
    <row r="211">
      <c r="S211" s="88">
        <f>IFERROR(VLOOKUP(B211,'Salary sheet'!$B$3:$N$500,5,0),"")</f>
        <v/>
      </c>
    </row>
    <row r="212">
      <c r="S212" s="88">
        <f>IFERROR(VLOOKUP(B212,'Salary sheet'!$B$3:$N$500,5,0),"")</f>
        <v/>
      </c>
    </row>
    <row r="213">
      <c r="S213" s="88">
        <f>IFERROR(VLOOKUP(B213,'Salary sheet'!$B$3:$N$500,5,0),"")</f>
        <v/>
      </c>
    </row>
    <row r="214">
      <c r="S214" s="88">
        <f>IFERROR(VLOOKUP(B214,'Salary sheet'!$B$3:$N$500,5,0),"")</f>
        <v/>
      </c>
    </row>
    <row r="215">
      <c r="S215" s="88">
        <f>IFERROR(VLOOKUP(B215,'Salary sheet'!$B$3:$N$500,5,0),"")</f>
        <v/>
      </c>
    </row>
    <row r="216">
      <c r="S216" s="88">
        <f>IFERROR(VLOOKUP(B216,'Salary sheet'!$B$3:$N$500,5,0),"")</f>
        <v/>
      </c>
    </row>
    <row r="217">
      <c r="S217" s="88">
        <f>IFERROR(VLOOKUP(B217,'Salary sheet'!$B$3:$N$500,5,0),"")</f>
        <v/>
      </c>
    </row>
    <row r="218">
      <c r="S218" s="88">
        <f>IFERROR(VLOOKUP(B218,'Salary sheet'!$B$3:$N$500,5,0),"")</f>
        <v/>
      </c>
    </row>
    <row r="219">
      <c r="S219" s="88">
        <f>IFERROR(VLOOKUP(B219,'Salary sheet'!$B$3:$N$500,5,0),"")</f>
        <v/>
      </c>
    </row>
    <row r="220">
      <c r="S220" s="88">
        <f>IFERROR(VLOOKUP(B220,'Salary sheet'!$B$3:$N$500,5,0),"")</f>
        <v/>
      </c>
    </row>
    <row r="221">
      <c r="S221" s="88">
        <f>IFERROR(VLOOKUP(B221,'Salary sheet'!$B$3:$N$500,5,0),"")</f>
        <v/>
      </c>
    </row>
    <row r="222">
      <c r="S222" s="88">
        <f>IFERROR(VLOOKUP(B222,'Salary sheet'!$B$3:$N$500,5,0),"")</f>
        <v/>
      </c>
    </row>
    <row r="223">
      <c r="S223" s="88">
        <f>IFERROR(VLOOKUP(B223,'Salary sheet'!$B$3:$N$500,5,0),"")</f>
        <v/>
      </c>
    </row>
    <row r="224">
      <c r="S224" s="88">
        <f>IFERROR(VLOOKUP(B224,'Salary sheet'!$B$3:$N$500,5,0),"")</f>
        <v/>
      </c>
    </row>
    <row r="225">
      <c r="S225" s="88">
        <f>IFERROR(VLOOKUP(B225,'Salary sheet'!$B$3:$N$500,5,0),"")</f>
        <v/>
      </c>
    </row>
    <row r="226">
      <c r="S226" s="88">
        <f>IFERROR(VLOOKUP(B226,'Salary sheet'!$B$3:$N$500,5,0),"")</f>
        <v/>
      </c>
    </row>
    <row r="227">
      <c r="S227" s="88">
        <f>IFERROR(VLOOKUP(B227,'Salary sheet'!$B$3:$N$500,5,0),"")</f>
        <v/>
      </c>
    </row>
    <row r="228">
      <c r="S228" s="88">
        <f>IFERROR(VLOOKUP(B228,'Salary sheet'!$B$3:$N$500,5,0),"")</f>
        <v/>
      </c>
    </row>
    <row r="229">
      <c r="S229" s="88">
        <f>IFERROR(VLOOKUP(B229,'Salary sheet'!$B$3:$N$500,5,0),"")</f>
        <v/>
      </c>
    </row>
    <row r="230">
      <c r="S230" s="88">
        <f>IFERROR(VLOOKUP(B230,'Salary sheet'!$B$3:$N$500,5,0),"")</f>
        <v/>
      </c>
    </row>
    <row r="231">
      <c r="S231" s="88">
        <f>IFERROR(VLOOKUP(B231,'Salary sheet'!$B$3:$N$500,5,0),"")</f>
        <v/>
      </c>
    </row>
    <row r="232">
      <c r="S232" s="88">
        <f>IFERROR(VLOOKUP(B232,'Salary sheet'!$B$3:$N$500,5,0),"")</f>
        <v/>
      </c>
    </row>
    <row r="233">
      <c r="S233" s="88">
        <f>IFERROR(VLOOKUP(B233,'Salary sheet'!$B$3:$N$500,5,0),"")</f>
        <v/>
      </c>
    </row>
    <row r="234">
      <c r="S234" s="88">
        <f>IFERROR(VLOOKUP(B234,'Salary sheet'!$B$3:$N$500,5,0),"")</f>
        <v/>
      </c>
    </row>
    <row r="235">
      <c r="S235" s="88">
        <f>IFERROR(VLOOKUP(B235,'Salary sheet'!$B$3:$N$500,5,0),"")</f>
        <v/>
      </c>
    </row>
    <row r="236">
      <c r="S236" s="88">
        <f>IFERROR(VLOOKUP(B236,'Salary sheet'!$B$3:$N$500,5,0),"")</f>
        <v/>
      </c>
    </row>
    <row r="237">
      <c r="S237" s="88">
        <f>IFERROR(VLOOKUP(B237,'Salary sheet'!$B$3:$N$500,5,0),"")</f>
        <v/>
      </c>
    </row>
    <row r="238">
      <c r="S238" s="88">
        <f>IFERROR(VLOOKUP(B238,'Salary sheet'!$B$3:$N$500,5,0),"")</f>
        <v/>
      </c>
    </row>
    <row r="239">
      <c r="S239" s="88">
        <f>IFERROR(VLOOKUP(B239,'Salary sheet'!$B$3:$N$500,5,0),"")</f>
        <v/>
      </c>
    </row>
    <row r="240">
      <c r="S240" s="88">
        <f>IFERROR(VLOOKUP(B240,'Salary sheet'!$B$3:$N$500,5,0),"")</f>
        <v/>
      </c>
    </row>
    <row r="241">
      <c r="S241" s="88">
        <f>IFERROR(VLOOKUP(B241,'Salary sheet'!$B$3:$N$500,5,0),"")</f>
        <v/>
      </c>
    </row>
    <row r="242">
      <c r="S242" s="88">
        <f>IFERROR(VLOOKUP(B242,'Salary sheet'!$B$3:$N$500,5,0),"")</f>
        <v/>
      </c>
    </row>
    <row r="243">
      <c r="S243" s="88">
        <f>IFERROR(VLOOKUP(B243,'Salary sheet'!$B$3:$N$500,5,0),"")</f>
        <v/>
      </c>
    </row>
    <row r="244">
      <c r="S244" s="88">
        <f>IFERROR(VLOOKUP(B244,'Salary sheet'!$B$3:$N$500,5,0),"")</f>
        <v/>
      </c>
    </row>
    <row r="245">
      <c r="S245" s="88">
        <f>IFERROR(VLOOKUP(B245,'Salary sheet'!$B$3:$N$500,5,0),"")</f>
        <v/>
      </c>
    </row>
    <row r="246">
      <c r="S246" s="88">
        <f>IFERROR(VLOOKUP(B246,'Salary sheet'!$B$3:$N$500,5,0),"")</f>
        <v/>
      </c>
    </row>
    <row r="247">
      <c r="S247" s="88">
        <f>IFERROR(VLOOKUP(B247,'Salary sheet'!$B$3:$N$500,5,0),"")</f>
        <v/>
      </c>
    </row>
    <row r="248">
      <c r="S248" s="88">
        <f>IFERROR(VLOOKUP(B248,'Salary sheet'!$B$3:$N$500,5,0),"")</f>
        <v/>
      </c>
    </row>
    <row r="249">
      <c r="S249" s="88">
        <f>IFERROR(VLOOKUP(B249,'Salary sheet'!$B$3:$N$500,5,0),"")</f>
        <v/>
      </c>
    </row>
    <row r="250">
      <c r="S250" s="88">
        <f>IFERROR(VLOOKUP(B250,'Salary sheet'!$B$3:$N$500,5,0),"")</f>
        <v/>
      </c>
    </row>
    <row r="251">
      <c r="S251" s="88">
        <f>IFERROR(VLOOKUP(B251,'Salary sheet'!$B$3:$N$500,5,0),"")</f>
        <v/>
      </c>
    </row>
    <row r="252">
      <c r="S252" s="88">
        <f>IFERROR(VLOOKUP(B252,'Salary sheet'!$B$3:$N$500,5,0),"")</f>
        <v/>
      </c>
    </row>
    <row r="253">
      <c r="S253" s="88">
        <f>IFERROR(VLOOKUP(B253,'Salary sheet'!$B$3:$N$500,5,0),"")</f>
        <v/>
      </c>
    </row>
    <row r="254">
      <c r="S254" s="88">
        <f>IFERROR(VLOOKUP(B254,'Salary sheet'!$B$3:$N$500,5,0),"")</f>
        <v/>
      </c>
    </row>
    <row r="255">
      <c r="S255" s="88">
        <f>IFERROR(VLOOKUP(B255,'Salary sheet'!$B$3:$N$500,5,0),"")</f>
        <v/>
      </c>
    </row>
    <row r="256">
      <c r="S256" s="88">
        <f>IFERROR(VLOOKUP(B256,'Salary sheet'!$B$3:$N$500,5,0),"")</f>
        <v/>
      </c>
    </row>
    <row r="257">
      <c r="S257" s="88">
        <f>IFERROR(VLOOKUP(B257,'Salary sheet'!$B$3:$N$500,5,0),"")</f>
        <v/>
      </c>
    </row>
    <row r="258">
      <c r="S258" s="88">
        <f>IFERROR(VLOOKUP(B258,'Salary sheet'!$B$3:$N$500,5,0),"")</f>
        <v/>
      </c>
    </row>
    <row r="259">
      <c r="S259" s="88">
        <f>IFERROR(VLOOKUP(B259,'Salary sheet'!$B$3:$N$500,5,0),"")</f>
        <v/>
      </c>
    </row>
    <row r="260">
      <c r="S260" s="88">
        <f>IFERROR(VLOOKUP(B260,'Salary sheet'!$B$3:$N$500,5,0),"")</f>
        <v/>
      </c>
    </row>
    <row r="261">
      <c r="S261" s="88">
        <f>IFERROR(VLOOKUP(B261,'Salary sheet'!$B$3:$N$500,5,0),"")</f>
        <v/>
      </c>
    </row>
    <row r="262">
      <c r="S262" s="88">
        <f>IFERROR(VLOOKUP(B262,'Salary sheet'!$B$3:$N$500,5,0),"")</f>
        <v/>
      </c>
    </row>
    <row r="263">
      <c r="S263" s="88">
        <f>IFERROR(VLOOKUP(B263,'Salary sheet'!$B$3:$N$500,5,0),"")</f>
        <v/>
      </c>
    </row>
    <row r="264">
      <c r="S264" s="88">
        <f>IFERROR(VLOOKUP(B264,'Salary sheet'!$B$3:$N$500,5,0),"")</f>
        <v/>
      </c>
    </row>
    <row r="265">
      <c r="S265" s="88">
        <f>IFERROR(VLOOKUP(B265,'Salary sheet'!$B$3:$N$500,5,0),"")</f>
        <v/>
      </c>
    </row>
    <row r="266">
      <c r="S266" s="88">
        <f>IFERROR(VLOOKUP(B266,'Salary sheet'!$B$3:$N$500,5,0),"")</f>
        <v/>
      </c>
    </row>
    <row r="267">
      <c r="S267" s="88">
        <f>IFERROR(VLOOKUP(B267,'Salary sheet'!$B$3:$N$500,5,0),"")</f>
        <v/>
      </c>
    </row>
    <row r="268">
      <c r="S268" s="88">
        <f>IFERROR(VLOOKUP(B268,'Salary sheet'!$B$3:$N$500,5,0),"")</f>
        <v/>
      </c>
    </row>
    <row r="269">
      <c r="S269" s="88">
        <f>IFERROR(VLOOKUP(B269,'Salary sheet'!$B$3:$N$500,5,0),"")</f>
        <v/>
      </c>
    </row>
    <row r="270">
      <c r="S270" s="88">
        <f>IFERROR(VLOOKUP(B270,'Salary sheet'!$B$3:$N$500,5,0),"")</f>
        <v/>
      </c>
    </row>
    <row r="271">
      <c r="S271" s="88">
        <f>IFERROR(VLOOKUP(B271,'Salary sheet'!$B$3:$N$500,5,0),"")</f>
        <v/>
      </c>
    </row>
    <row r="272">
      <c r="S272" s="88">
        <f>IFERROR(VLOOKUP(B272,'Salary sheet'!$B$3:$N$500,5,0),"")</f>
        <v/>
      </c>
    </row>
    <row r="273">
      <c r="S273" s="88">
        <f>IFERROR(VLOOKUP(B273,'Salary sheet'!$B$3:$N$500,5,0),"")</f>
        <v/>
      </c>
    </row>
    <row r="274">
      <c r="S274" s="88">
        <f>IFERROR(VLOOKUP(B274,'Salary sheet'!$B$3:$N$500,5,0),"")</f>
        <v/>
      </c>
    </row>
    <row r="275">
      <c r="S275" s="88">
        <f>IFERROR(VLOOKUP(B275,'Salary sheet'!$B$3:$N$500,5,0),"")</f>
        <v/>
      </c>
    </row>
    <row r="276">
      <c r="S276" s="88">
        <f>IFERROR(VLOOKUP(B276,'Salary sheet'!$B$3:$N$500,5,0),"")</f>
        <v/>
      </c>
    </row>
    <row r="277">
      <c r="S277" s="88">
        <f>IFERROR(VLOOKUP(B277,'Salary sheet'!$B$3:$N$500,5,0),"")</f>
        <v/>
      </c>
    </row>
    <row r="278">
      <c r="S278" s="88">
        <f>IFERROR(VLOOKUP(B278,'Salary sheet'!$B$3:$N$500,5,0),"")</f>
        <v/>
      </c>
    </row>
    <row r="279">
      <c r="S279" s="88">
        <f>IFERROR(VLOOKUP(B279,'Salary sheet'!$B$3:$N$500,5,0),"")</f>
        <v/>
      </c>
    </row>
    <row r="280">
      <c r="S280" s="88">
        <f>IFERROR(VLOOKUP(B280,'Salary sheet'!$B$3:$N$500,5,0),"")</f>
        <v/>
      </c>
    </row>
    <row r="281">
      <c r="S281" s="88">
        <f>IFERROR(VLOOKUP(B281,'Salary sheet'!$B$3:$N$500,5,0),"")</f>
        <v/>
      </c>
    </row>
    <row r="282">
      <c r="S282" s="88">
        <f>IFERROR(VLOOKUP(B282,'Salary sheet'!$B$3:$N$500,5,0),"")</f>
        <v/>
      </c>
    </row>
    <row r="283">
      <c r="S283" s="88">
        <f>IFERROR(VLOOKUP(B283,'Salary sheet'!$B$3:$N$500,5,0),"")</f>
        <v/>
      </c>
    </row>
    <row r="284">
      <c r="S284" s="88">
        <f>IFERROR(VLOOKUP(B284,'Salary sheet'!$B$3:$N$500,5,0),"")</f>
        <v/>
      </c>
    </row>
    <row r="285">
      <c r="S285" s="88">
        <f>IFERROR(VLOOKUP(B285,'Salary sheet'!$B$3:$N$500,5,0),"")</f>
        <v/>
      </c>
    </row>
    <row r="286">
      <c r="S286" s="88">
        <f>IFERROR(VLOOKUP(B286,'Salary sheet'!$B$3:$N$500,5,0),"")</f>
        <v/>
      </c>
    </row>
    <row r="287">
      <c r="S287" s="88">
        <f>IFERROR(VLOOKUP(B287,'Salary sheet'!$B$3:$N$500,5,0),"")</f>
        <v/>
      </c>
    </row>
    <row r="288">
      <c r="S288" s="88">
        <f>IFERROR(VLOOKUP(B288,'Salary sheet'!$B$3:$N$500,5,0),"")</f>
        <v/>
      </c>
    </row>
    <row r="289">
      <c r="S289" s="88">
        <f>IFERROR(VLOOKUP(B289,'Salary sheet'!$B$3:$N$500,5,0),"")</f>
        <v/>
      </c>
    </row>
    <row r="290">
      <c r="S290" s="88">
        <f>IFERROR(VLOOKUP(B290,'Salary sheet'!$B$3:$N$500,5,0),"")</f>
        <v/>
      </c>
    </row>
    <row r="291">
      <c r="S291" s="88">
        <f>IFERROR(VLOOKUP(B291,'Salary sheet'!$B$3:$N$500,5,0),"")</f>
        <v/>
      </c>
    </row>
    <row r="292">
      <c r="S292" s="88">
        <f>IFERROR(VLOOKUP(B292,'Salary sheet'!$B$3:$N$500,5,0),"")</f>
        <v/>
      </c>
    </row>
    <row r="293">
      <c r="S293" s="88">
        <f>IFERROR(VLOOKUP(B293,'Salary sheet'!$B$3:$N$500,5,0),"")</f>
        <v/>
      </c>
    </row>
    <row r="294">
      <c r="S294" s="88">
        <f>IFERROR(VLOOKUP(B294,'Salary sheet'!$B$3:$N$500,5,0),"")</f>
        <v/>
      </c>
    </row>
    <row r="295">
      <c r="S295" s="88">
        <f>IFERROR(VLOOKUP(B295,'Salary sheet'!$B$3:$N$500,5,0),"")</f>
        <v/>
      </c>
    </row>
    <row r="296">
      <c r="S296" s="88">
        <f>IFERROR(VLOOKUP(B296,'Salary sheet'!$B$3:$N$500,5,0),"")</f>
        <v/>
      </c>
    </row>
    <row r="297">
      <c r="S297" s="88">
        <f>IFERROR(VLOOKUP(B297,'Salary sheet'!$B$3:$N$500,5,0),"")</f>
        <v/>
      </c>
    </row>
    <row r="298">
      <c r="S298" s="88">
        <f>IFERROR(VLOOKUP(B298,'Salary sheet'!$B$3:$N$500,5,0),"")</f>
        <v/>
      </c>
    </row>
    <row r="299">
      <c r="S299" s="88">
        <f>IFERROR(VLOOKUP(B299,'Salary sheet'!$B$3:$N$500,5,0),"")</f>
        <v/>
      </c>
    </row>
    <row r="300">
      <c r="S300" s="88">
        <f>IFERROR(VLOOKUP(B300,'Salary sheet'!$B$3:$N$500,5,0),"")</f>
        <v/>
      </c>
    </row>
    <row r="301">
      <c r="S301" s="88">
        <f>IFERROR(VLOOKUP(B301,'Salary sheet'!$B$3:$N$500,5,0),"")</f>
        <v/>
      </c>
    </row>
    <row r="302">
      <c r="S302" s="88">
        <f>IFERROR(VLOOKUP(B302,'Salary sheet'!$B$3:$N$500,5,0),"")</f>
        <v/>
      </c>
    </row>
    <row r="303">
      <c r="S303" s="88">
        <f>IFERROR(VLOOKUP(B303,'Salary sheet'!$B$3:$N$500,5,0),"")</f>
        <v/>
      </c>
    </row>
    <row r="304">
      <c r="S304" s="88">
        <f>IFERROR(VLOOKUP(B304,'Salary sheet'!$B$3:$N$500,5,0),"")</f>
        <v/>
      </c>
    </row>
    <row r="305">
      <c r="S305" s="88">
        <f>IFERROR(VLOOKUP(B305,'Salary sheet'!$B$3:$N$500,5,0),"")</f>
        <v/>
      </c>
    </row>
    <row r="306">
      <c r="S306" s="88">
        <f>IFERROR(VLOOKUP(B306,'Salary sheet'!$B$3:$N$500,5,0),"")</f>
        <v/>
      </c>
    </row>
    <row r="307">
      <c r="S307" s="88">
        <f>IFERROR(VLOOKUP(B307,'Salary sheet'!$B$3:$N$500,5,0),"")</f>
        <v/>
      </c>
    </row>
    <row r="308">
      <c r="S308" s="88">
        <f>IFERROR(VLOOKUP(B308,'Salary sheet'!$B$3:$N$500,5,0),"")</f>
        <v/>
      </c>
    </row>
    <row r="309">
      <c r="S309" s="88">
        <f>IFERROR(VLOOKUP(B309,'Salary sheet'!$B$3:$N$500,5,0),"")</f>
        <v/>
      </c>
    </row>
    <row r="310">
      <c r="S310" s="88">
        <f>IFERROR(VLOOKUP(B310,'Salary sheet'!$B$3:$N$500,5,0),"")</f>
        <v/>
      </c>
    </row>
    <row r="311">
      <c r="S311" s="88">
        <f>IFERROR(VLOOKUP(B311,'Salary sheet'!$B$3:$N$500,5,0),"")</f>
        <v/>
      </c>
    </row>
    <row r="312">
      <c r="S312" s="88">
        <f>IFERROR(VLOOKUP(B312,'Salary sheet'!$B$3:$N$500,5,0),"")</f>
        <v/>
      </c>
    </row>
    <row r="313">
      <c r="S313" s="88">
        <f>IFERROR(VLOOKUP(B313,'Salary sheet'!$B$3:$N$500,5,0),"")</f>
        <v/>
      </c>
    </row>
    <row r="314">
      <c r="S314" s="88">
        <f>IFERROR(VLOOKUP(B314,'Salary sheet'!$B$3:$N$500,5,0),"")</f>
        <v/>
      </c>
    </row>
    <row r="315">
      <c r="S315" s="88">
        <f>IFERROR(VLOOKUP(B315,'Salary sheet'!$B$3:$N$500,5,0),"")</f>
        <v/>
      </c>
    </row>
    <row r="316">
      <c r="S316" s="88">
        <f>IFERROR(VLOOKUP(B316,'Salary sheet'!$B$3:$N$500,5,0),"")</f>
        <v/>
      </c>
    </row>
    <row r="317">
      <c r="S317" s="88">
        <f>IFERROR(VLOOKUP(B317,'Salary sheet'!$B$3:$N$500,5,0),"")</f>
        <v/>
      </c>
    </row>
    <row r="318">
      <c r="S318" s="88">
        <f>IFERROR(VLOOKUP(B318,'Salary sheet'!$B$3:$N$500,5,0),"")</f>
        <v/>
      </c>
    </row>
    <row r="319">
      <c r="S319" s="88">
        <f>IFERROR(VLOOKUP(B319,'Salary sheet'!$B$3:$N$500,5,0),"")</f>
        <v/>
      </c>
    </row>
    <row r="320">
      <c r="S320" s="88">
        <f>IFERROR(VLOOKUP(B320,'Salary sheet'!$B$3:$N$500,5,0),"")</f>
        <v/>
      </c>
    </row>
    <row r="321">
      <c r="S321" s="88">
        <f>IFERROR(VLOOKUP(B321,'Salary sheet'!$B$3:$N$500,5,0),"")</f>
        <v/>
      </c>
    </row>
    <row r="322">
      <c r="S322" s="88">
        <f>IFERROR(VLOOKUP(B322,'Salary sheet'!$B$3:$N$500,5,0),"")</f>
        <v/>
      </c>
    </row>
    <row r="323">
      <c r="S323" s="88">
        <f>IFERROR(VLOOKUP(B323,'Salary sheet'!$B$3:$N$500,5,0),"")</f>
        <v/>
      </c>
    </row>
    <row r="324">
      <c r="S324" s="88">
        <f>IFERROR(VLOOKUP(B324,'Salary sheet'!$B$3:$N$500,5,0),"")</f>
        <v/>
      </c>
    </row>
    <row r="325">
      <c r="S325" s="88">
        <f>IFERROR(VLOOKUP(B325,'Salary sheet'!$B$3:$N$500,5,0),"")</f>
        <v/>
      </c>
    </row>
    <row r="326">
      <c r="S326" s="88">
        <f>IFERROR(VLOOKUP(B326,'Salary sheet'!$B$3:$N$500,5,0),"")</f>
        <v/>
      </c>
    </row>
    <row r="327">
      <c r="S327" s="88">
        <f>IFERROR(VLOOKUP(B327,'Salary sheet'!$B$3:$N$500,5,0),"")</f>
        <v/>
      </c>
    </row>
    <row r="328">
      <c r="S328" s="88">
        <f>IFERROR(VLOOKUP(B328,'Salary sheet'!$B$3:$N$500,5,0),"")</f>
        <v/>
      </c>
    </row>
    <row r="329">
      <c r="S329" s="88">
        <f>IFERROR(VLOOKUP(B329,'Salary sheet'!$B$3:$N$500,5,0),"")</f>
        <v/>
      </c>
    </row>
    <row r="330">
      <c r="S330" s="88">
        <f>IFERROR(VLOOKUP(B330,'Salary sheet'!$B$3:$N$500,5,0),"")</f>
        <v/>
      </c>
    </row>
    <row r="331">
      <c r="S331" s="88">
        <f>IFERROR(VLOOKUP(B331,'Salary sheet'!$B$3:$N$500,5,0),"")</f>
        <v/>
      </c>
    </row>
    <row r="332">
      <c r="S332" s="88">
        <f>IFERROR(VLOOKUP(B332,'Salary sheet'!$B$3:$N$500,5,0),"")</f>
        <v/>
      </c>
    </row>
    <row r="333">
      <c r="S333" s="88">
        <f>IFERROR(VLOOKUP(B333,'Salary sheet'!$B$3:$N$500,5,0),"")</f>
        <v/>
      </c>
    </row>
    <row r="334">
      <c r="S334" s="88">
        <f>IFERROR(VLOOKUP(B334,'Salary sheet'!$B$3:$N$500,5,0),"")</f>
        <v/>
      </c>
    </row>
    <row r="335">
      <c r="S335" s="88">
        <f>IFERROR(VLOOKUP(B335,'Salary sheet'!$B$3:$N$500,5,0),"")</f>
        <v/>
      </c>
    </row>
    <row r="336">
      <c r="S336" s="88">
        <f>IFERROR(VLOOKUP(B336,'Salary sheet'!$B$3:$N$500,5,0),"")</f>
        <v/>
      </c>
    </row>
    <row r="337">
      <c r="S337" s="88">
        <f>IFERROR(VLOOKUP(B337,'Salary sheet'!$B$3:$N$500,5,0),"")</f>
        <v/>
      </c>
    </row>
    <row r="338">
      <c r="S338" s="88">
        <f>IFERROR(VLOOKUP(B338,'Salary sheet'!$B$3:$N$500,5,0),"")</f>
        <v/>
      </c>
    </row>
    <row r="339">
      <c r="S339" s="88">
        <f>IFERROR(VLOOKUP(B339,'Salary sheet'!$B$3:$N$500,5,0),"")</f>
        <v/>
      </c>
    </row>
    <row r="340">
      <c r="S340" s="88">
        <f>IFERROR(VLOOKUP(B340,'Salary sheet'!$B$3:$N$500,5,0),"")</f>
        <v/>
      </c>
    </row>
    <row r="341">
      <c r="S341" s="88">
        <f>IFERROR(VLOOKUP(B341,'Salary sheet'!$B$3:$N$500,5,0),"")</f>
        <v/>
      </c>
    </row>
    <row r="342">
      <c r="S342" s="88">
        <f>IFERROR(VLOOKUP(B342,'Salary sheet'!$B$3:$N$500,5,0),"")</f>
        <v/>
      </c>
    </row>
    <row r="343">
      <c r="S343" s="88">
        <f>IFERROR(VLOOKUP(B343,'Salary sheet'!$B$3:$N$500,5,0),"")</f>
        <v/>
      </c>
    </row>
    <row r="344">
      <c r="S344" s="88">
        <f>IFERROR(VLOOKUP(B344,'Salary sheet'!$B$3:$N$500,5,0),"")</f>
        <v/>
      </c>
    </row>
    <row r="345">
      <c r="S345" s="88">
        <f>IFERROR(VLOOKUP(B345,'Salary sheet'!$B$3:$N$500,5,0),"")</f>
        <v/>
      </c>
    </row>
    <row r="346">
      <c r="S346" s="88">
        <f>IFERROR(VLOOKUP(B346,'Salary sheet'!$B$3:$N$500,5,0),"")</f>
        <v/>
      </c>
    </row>
    <row r="347">
      <c r="S347" s="88">
        <f>IFERROR(VLOOKUP(B347,'Salary sheet'!$B$3:$N$500,5,0),"")</f>
        <v/>
      </c>
    </row>
    <row r="348">
      <c r="S348" s="88">
        <f>IFERROR(VLOOKUP(B348,'Salary sheet'!$B$3:$N$500,5,0),"")</f>
        <v/>
      </c>
    </row>
    <row r="349">
      <c r="S349" s="88">
        <f>IFERROR(VLOOKUP(B349,'Salary sheet'!$B$3:$N$500,5,0),"")</f>
        <v/>
      </c>
    </row>
    <row r="350">
      <c r="S350" s="88">
        <f>IFERROR(VLOOKUP(B350,'Salary sheet'!$B$3:$N$500,5,0),"")</f>
        <v/>
      </c>
    </row>
    <row r="351">
      <c r="S351" s="88">
        <f>IFERROR(VLOOKUP(B351,'Salary sheet'!$B$3:$N$500,5,0),"")</f>
        <v/>
      </c>
    </row>
    <row r="352">
      <c r="S352" s="88">
        <f>IFERROR(VLOOKUP(B352,'Salary sheet'!$B$3:$N$500,5,0),"")</f>
        <v/>
      </c>
    </row>
    <row r="353">
      <c r="S353" s="88">
        <f>IFERROR(VLOOKUP(B353,'Salary sheet'!$B$3:$N$500,5,0),"")</f>
        <v/>
      </c>
    </row>
    <row r="354">
      <c r="S354" s="88">
        <f>IFERROR(VLOOKUP(B354,'Salary sheet'!$B$3:$N$500,5,0),"")</f>
        <v/>
      </c>
    </row>
    <row r="355">
      <c r="S355" s="88">
        <f>IFERROR(VLOOKUP(B355,'Salary sheet'!$B$3:$N$500,5,0),"")</f>
        <v/>
      </c>
    </row>
    <row r="356">
      <c r="S356" s="88">
        <f>IFERROR(VLOOKUP(B356,'Salary sheet'!$B$3:$N$500,5,0),"")</f>
        <v/>
      </c>
    </row>
    <row r="357">
      <c r="S357" s="88">
        <f>IFERROR(VLOOKUP(B357,'Salary sheet'!$B$3:$N$500,5,0),"")</f>
        <v/>
      </c>
    </row>
    <row r="358">
      <c r="S358" s="88">
        <f>IFERROR(VLOOKUP(B358,'Salary sheet'!$B$3:$N$500,5,0),"")</f>
        <v/>
      </c>
    </row>
    <row r="359">
      <c r="S359" s="88">
        <f>IFERROR(VLOOKUP(B359,'Salary sheet'!$B$3:$N$500,5,0),"")</f>
        <v/>
      </c>
    </row>
    <row r="360">
      <c r="S360" s="88">
        <f>IFERROR(VLOOKUP(B360,'Salary sheet'!$B$3:$N$500,5,0),"")</f>
        <v/>
      </c>
    </row>
    <row r="361">
      <c r="S361" s="88">
        <f>IFERROR(VLOOKUP(B361,'Salary sheet'!$B$3:$N$500,5,0),"")</f>
        <v/>
      </c>
    </row>
    <row r="362">
      <c r="S362" s="88">
        <f>IFERROR(VLOOKUP(B362,'Salary sheet'!$B$3:$N$500,5,0),"")</f>
        <v/>
      </c>
    </row>
    <row r="363">
      <c r="S363" s="88">
        <f>IFERROR(VLOOKUP(B363,'Salary sheet'!$B$3:$N$500,5,0),"")</f>
        <v/>
      </c>
    </row>
    <row r="364">
      <c r="S364" s="88">
        <f>IFERROR(VLOOKUP(B364,'Salary sheet'!$B$3:$N$500,5,0),"")</f>
        <v/>
      </c>
    </row>
    <row r="365">
      <c r="S365" s="88">
        <f>IFERROR(VLOOKUP(B365,'Salary sheet'!$B$3:$N$500,5,0),"")</f>
        <v/>
      </c>
    </row>
    <row r="366">
      <c r="S366" s="88">
        <f>IFERROR(VLOOKUP(B366,'Salary sheet'!$B$3:$N$500,5,0),"")</f>
        <v/>
      </c>
    </row>
    <row r="367">
      <c r="S367" s="88">
        <f>IFERROR(VLOOKUP(B367,'Salary sheet'!$B$3:$N$500,5,0),"")</f>
        <v/>
      </c>
    </row>
    <row r="368">
      <c r="S368" s="88">
        <f>IFERROR(VLOOKUP(B368,'Salary sheet'!$B$3:$N$500,5,0),"")</f>
        <v/>
      </c>
    </row>
    <row r="369">
      <c r="S369" s="88">
        <f>IFERROR(VLOOKUP(B369,'Salary sheet'!$B$3:$N$500,5,0),"")</f>
        <v/>
      </c>
    </row>
    <row r="370">
      <c r="S370" s="88">
        <f>IFERROR(VLOOKUP(B370,'Salary sheet'!$B$3:$N$500,5,0),"")</f>
        <v/>
      </c>
    </row>
    <row r="371">
      <c r="S371" s="88">
        <f>IFERROR(VLOOKUP(B371,'Salary sheet'!$B$3:$N$500,5,0),"")</f>
        <v/>
      </c>
    </row>
    <row r="372">
      <c r="S372" s="88">
        <f>IFERROR(VLOOKUP(B372,'Salary sheet'!$B$3:$N$500,5,0),"")</f>
        <v/>
      </c>
    </row>
    <row r="373">
      <c r="S373" s="88">
        <f>IFERROR(VLOOKUP(B373,'Salary sheet'!$B$3:$N$500,5,0),"")</f>
        <v/>
      </c>
    </row>
    <row r="374">
      <c r="S374" s="88">
        <f>IFERROR(VLOOKUP(B374,'Salary sheet'!$B$3:$N$500,5,0),"")</f>
        <v/>
      </c>
    </row>
    <row r="375">
      <c r="S375" s="88">
        <f>IFERROR(VLOOKUP(B375,'Salary sheet'!$B$3:$N$500,5,0),"")</f>
        <v/>
      </c>
    </row>
    <row r="376">
      <c r="S376" s="88">
        <f>IFERROR(VLOOKUP(B376,'Salary sheet'!$B$3:$N$500,5,0),"")</f>
        <v/>
      </c>
    </row>
    <row r="377">
      <c r="S377" s="88">
        <f>IFERROR(VLOOKUP(B377,'Salary sheet'!$B$3:$N$500,5,0),"")</f>
        <v/>
      </c>
    </row>
    <row r="378">
      <c r="S378" s="88">
        <f>IFERROR(VLOOKUP(B378,'Salary sheet'!$B$3:$N$500,5,0),"")</f>
        <v/>
      </c>
    </row>
    <row r="379">
      <c r="S379" s="88">
        <f>IFERROR(VLOOKUP(B379,'Salary sheet'!$B$3:$N$500,5,0),"")</f>
        <v/>
      </c>
    </row>
    <row r="380">
      <c r="S380" s="88">
        <f>IFERROR(VLOOKUP(B380,'Salary sheet'!$B$3:$N$500,5,0),"")</f>
        <v/>
      </c>
    </row>
    <row r="381">
      <c r="S381" s="88">
        <f>IFERROR(VLOOKUP(B381,'Salary sheet'!$B$3:$N$500,5,0),"")</f>
        <v/>
      </c>
    </row>
    <row r="382">
      <c r="S382" s="88">
        <f>IFERROR(VLOOKUP(B382,'Salary sheet'!$B$3:$N$500,5,0),"")</f>
        <v/>
      </c>
    </row>
    <row r="383">
      <c r="S383" s="88">
        <f>IFERROR(VLOOKUP(B383,'Salary sheet'!$B$3:$N$500,5,0),"")</f>
        <v/>
      </c>
    </row>
    <row r="384">
      <c r="S384" s="88">
        <f>IFERROR(VLOOKUP(B384,'Salary sheet'!$B$3:$N$500,5,0),"")</f>
        <v/>
      </c>
    </row>
    <row r="385">
      <c r="S385" s="88">
        <f>IFERROR(VLOOKUP(B385,'Salary sheet'!$B$3:$N$500,5,0),"")</f>
        <v/>
      </c>
    </row>
    <row r="386">
      <c r="S386" s="88">
        <f>IFERROR(VLOOKUP(B386,'Salary sheet'!$B$3:$N$500,5,0),"")</f>
        <v/>
      </c>
    </row>
    <row r="387">
      <c r="S387" s="88">
        <f>IFERROR(VLOOKUP(B387,'Salary sheet'!$B$3:$N$500,5,0),"")</f>
        <v/>
      </c>
    </row>
    <row r="388">
      <c r="S388" s="88">
        <f>IFERROR(VLOOKUP(B388,'Salary sheet'!$B$3:$N$500,5,0),"")</f>
        <v/>
      </c>
    </row>
    <row r="389">
      <c r="S389" s="88">
        <f>IFERROR(VLOOKUP(B389,'Salary sheet'!$B$3:$N$500,5,0),"")</f>
        <v/>
      </c>
    </row>
    <row r="390">
      <c r="S390" s="88">
        <f>IFERROR(VLOOKUP(B390,'Salary sheet'!$B$3:$N$500,5,0),"")</f>
        <v/>
      </c>
    </row>
    <row r="391">
      <c r="S391" s="88">
        <f>IFERROR(VLOOKUP(B391,'Salary sheet'!$B$3:$N$500,5,0),"")</f>
        <v/>
      </c>
    </row>
    <row r="392">
      <c r="S392" s="88">
        <f>IFERROR(VLOOKUP(B392,'Salary sheet'!$B$3:$N$500,5,0),"")</f>
        <v/>
      </c>
    </row>
    <row r="393">
      <c r="S393" s="88">
        <f>IFERROR(VLOOKUP(B393,'Salary sheet'!$B$3:$N$500,5,0),"")</f>
        <v/>
      </c>
    </row>
    <row r="394">
      <c r="S394" s="88">
        <f>IFERROR(VLOOKUP(B394,'Salary sheet'!$B$3:$N$500,5,0),"")</f>
        <v/>
      </c>
    </row>
    <row r="395">
      <c r="S395" s="88">
        <f>IFERROR(VLOOKUP(B395,'Salary sheet'!$B$3:$N$500,5,0),"")</f>
        <v/>
      </c>
    </row>
    <row r="396">
      <c r="S396" s="88">
        <f>IFERROR(VLOOKUP(B396,'Salary sheet'!$B$3:$N$500,5,0),"")</f>
        <v/>
      </c>
    </row>
    <row r="397">
      <c r="S397" s="88">
        <f>IFERROR(VLOOKUP(B397,'Salary sheet'!$B$3:$N$500,5,0),"")</f>
        <v/>
      </c>
    </row>
    <row r="398">
      <c r="S398" s="88">
        <f>IFERROR(VLOOKUP(B398,'Salary sheet'!$B$3:$N$500,5,0),"")</f>
        <v/>
      </c>
    </row>
    <row r="399">
      <c r="S399" s="88">
        <f>IFERROR(VLOOKUP(B399,'Salary sheet'!$B$3:$N$500,5,0),"")</f>
        <v/>
      </c>
    </row>
    <row r="400">
      <c r="S400" s="88">
        <f>IFERROR(VLOOKUP(B400,'Salary sheet'!$B$3:$N$500,5,0),"")</f>
        <v/>
      </c>
    </row>
    <row r="401">
      <c r="S401" s="88">
        <f>IFERROR(VLOOKUP(B401,'Salary sheet'!$B$3:$N$500,5,0),"")</f>
        <v/>
      </c>
    </row>
    <row r="402">
      <c r="S402" s="88">
        <f>IFERROR(VLOOKUP(B402,'Salary sheet'!$B$3:$N$500,5,0),"")</f>
        <v/>
      </c>
    </row>
    <row r="403">
      <c r="S403" s="88">
        <f>IFERROR(VLOOKUP(B403,'Salary sheet'!$B$3:$N$500,5,0),"")</f>
        <v/>
      </c>
    </row>
    <row r="404">
      <c r="S404" s="88">
        <f>IFERROR(VLOOKUP(B404,'Salary sheet'!$B$3:$N$500,5,0),"")</f>
        <v/>
      </c>
    </row>
    <row r="405">
      <c r="S405" s="88">
        <f>IFERROR(VLOOKUP(B405,'Salary sheet'!$B$3:$N$500,5,0),"")</f>
        <v/>
      </c>
    </row>
    <row r="406">
      <c r="S406" s="88">
        <f>IFERROR(VLOOKUP(B406,'Salary sheet'!$B$3:$N$500,5,0),"")</f>
        <v/>
      </c>
    </row>
    <row r="407">
      <c r="S407" s="88">
        <f>IFERROR(VLOOKUP(B407,'Salary sheet'!$B$3:$N$500,5,0),"")</f>
        <v/>
      </c>
    </row>
    <row r="408">
      <c r="S408" s="88">
        <f>IFERROR(VLOOKUP(B408,'Salary sheet'!$B$3:$N$500,5,0),"")</f>
        <v/>
      </c>
    </row>
    <row r="409">
      <c r="S409" s="88">
        <f>IFERROR(VLOOKUP(B409,'Salary sheet'!$B$3:$N$500,5,0),"")</f>
        <v/>
      </c>
    </row>
    <row r="410">
      <c r="S410" s="88">
        <f>IFERROR(VLOOKUP(B410,'Salary sheet'!$B$3:$N$500,5,0),"")</f>
        <v/>
      </c>
    </row>
    <row r="411">
      <c r="S411" s="88">
        <f>IFERROR(VLOOKUP(B411,'Salary sheet'!$B$3:$N$500,5,0),"")</f>
        <v/>
      </c>
    </row>
    <row r="412">
      <c r="S412" s="88">
        <f>IFERROR(VLOOKUP(B412,'Salary sheet'!$B$3:$N$500,5,0),"")</f>
        <v/>
      </c>
    </row>
    <row r="413">
      <c r="S413" s="88">
        <f>IFERROR(VLOOKUP(B413,'Salary sheet'!$B$3:$N$500,5,0),"")</f>
        <v/>
      </c>
    </row>
    <row r="414">
      <c r="S414" s="88">
        <f>IFERROR(VLOOKUP(B414,'Salary sheet'!$B$3:$N$500,5,0),"")</f>
        <v/>
      </c>
    </row>
    <row r="415">
      <c r="S415" s="88">
        <f>IFERROR(VLOOKUP(B415,'Salary sheet'!$B$3:$N$500,5,0),"")</f>
        <v/>
      </c>
    </row>
    <row r="416">
      <c r="S416" s="88">
        <f>IFERROR(VLOOKUP(B416,'Salary sheet'!$B$3:$N$500,5,0),"")</f>
        <v/>
      </c>
    </row>
    <row r="417">
      <c r="S417" s="88">
        <f>IFERROR(VLOOKUP(B417,'Salary sheet'!$B$3:$N$500,5,0),"")</f>
        <v/>
      </c>
    </row>
    <row r="418">
      <c r="S418" s="88">
        <f>IFERROR(VLOOKUP(B418,'Salary sheet'!$B$3:$N$500,5,0),"")</f>
        <v/>
      </c>
    </row>
    <row r="419">
      <c r="S419" s="88">
        <f>IFERROR(VLOOKUP(B419,'Salary sheet'!$B$3:$N$500,5,0),"")</f>
        <v/>
      </c>
    </row>
    <row r="420">
      <c r="S420" s="88">
        <f>IFERROR(VLOOKUP(B420,'Salary sheet'!$B$3:$N$500,5,0),"")</f>
        <v/>
      </c>
    </row>
    <row r="421">
      <c r="S421" s="88">
        <f>IFERROR(VLOOKUP(B421,'Salary sheet'!$B$3:$N$500,5,0),"")</f>
        <v/>
      </c>
    </row>
    <row r="422">
      <c r="S422" s="88">
        <f>IFERROR(VLOOKUP(B422,'Salary sheet'!$B$3:$N$500,5,0),"")</f>
        <v/>
      </c>
    </row>
    <row r="423">
      <c r="S423" s="88">
        <f>IFERROR(VLOOKUP(B423,'Salary sheet'!$B$3:$N$500,5,0),"")</f>
        <v/>
      </c>
    </row>
    <row r="424">
      <c r="S424" s="88">
        <f>IFERROR(VLOOKUP(B424,'Salary sheet'!$B$3:$N$500,5,0),"")</f>
        <v/>
      </c>
    </row>
    <row r="425">
      <c r="S425" s="88">
        <f>IFERROR(VLOOKUP(B425,'Salary sheet'!$B$3:$N$500,5,0),"")</f>
        <v/>
      </c>
    </row>
    <row r="426">
      <c r="S426" s="88">
        <f>IFERROR(VLOOKUP(B426,'Salary sheet'!$B$3:$N$500,5,0),"")</f>
        <v/>
      </c>
    </row>
    <row r="427">
      <c r="S427" s="88">
        <f>IFERROR(VLOOKUP(B427,'Salary sheet'!$B$3:$N$500,5,0),"")</f>
        <v/>
      </c>
    </row>
    <row r="428">
      <c r="S428" s="88">
        <f>IFERROR(VLOOKUP(B428,'Salary sheet'!$B$3:$N$500,5,0),"")</f>
        <v/>
      </c>
    </row>
    <row r="429">
      <c r="S429" s="88">
        <f>IFERROR(VLOOKUP(B429,'Salary sheet'!$B$3:$N$500,5,0),"")</f>
        <v/>
      </c>
    </row>
    <row r="430">
      <c r="S430" s="88">
        <f>IFERROR(VLOOKUP(B430,'Salary sheet'!$B$3:$N$500,5,0),"")</f>
        <v/>
      </c>
    </row>
    <row r="431">
      <c r="S431" s="88">
        <f>IFERROR(VLOOKUP(B431,'Salary sheet'!$B$3:$N$500,5,0),"")</f>
        <v/>
      </c>
    </row>
    <row r="432">
      <c r="S432" s="88">
        <f>IFERROR(VLOOKUP(B432,'Salary sheet'!$B$3:$N$500,5,0),"")</f>
        <v/>
      </c>
    </row>
    <row r="433">
      <c r="S433" s="88">
        <f>IFERROR(VLOOKUP(B433,'Salary sheet'!$B$3:$N$500,5,0),"")</f>
        <v/>
      </c>
    </row>
    <row r="434">
      <c r="S434" s="88">
        <f>IFERROR(VLOOKUP(B434,'Salary sheet'!$B$3:$N$500,5,0),"")</f>
        <v/>
      </c>
    </row>
    <row r="435">
      <c r="S435" s="88">
        <f>IFERROR(VLOOKUP(B435,'Salary sheet'!$B$3:$N$500,5,0),"")</f>
        <v/>
      </c>
    </row>
    <row r="436">
      <c r="S436" s="88">
        <f>IFERROR(VLOOKUP(B436,'Salary sheet'!$B$3:$N$500,5,0),"")</f>
        <v/>
      </c>
    </row>
    <row r="437">
      <c r="S437" s="88">
        <f>IFERROR(VLOOKUP(B437,'Salary sheet'!$B$3:$N$500,5,0),"")</f>
        <v/>
      </c>
    </row>
    <row r="438">
      <c r="S438" s="88">
        <f>IFERROR(VLOOKUP(B438,'Salary sheet'!$B$3:$N$500,5,0),"")</f>
        <v/>
      </c>
    </row>
    <row r="439">
      <c r="S439" s="88">
        <f>IFERROR(VLOOKUP(B439,'Salary sheet'!$B$3:$N$500,5,0),"")</f>
        <v/>
      </c>
    </row>
    <row r="440">
      <c r="S440" s="88">
        <f>IFERROR(VLOOKUP(B440,'Salary sheet'!$B$3:$N$500,5,0),"")</f>
        <v/>
      </c>
    </row>
    <row r="441">
      <c r="S441" s="88">
        <f>IFERROR(VLOOKUP(B441,'Salary sheet'!$B$3:$N$500,5,0),"")</f>
        <v/>
      </c>
    </row>
    <row r="442">
      <c r="S442" s="88">
        <f>IFERROR(VLOOKUP(B442,'Salary sheet'!$B$3:$N$500,5,0),"")</f>
        <v/>
      </c>
    </row>
    <row r="443">
      <c r="S443" s="88">
        <f>IFERROR(VLOOKUP(B443,'Salary sheet'!$B$3:$N$500,5,0),"")</f>
        <v/>
      </c>
    </row>
    <row r="444">
      <c r="S444" s="88">
        <f>IFERROR(VLOOKUP(B444,'Salary sheet'!$B$3:$N$500,5,0),"")</f>
        <v/>
      </c>
    </row>
    <row r="445">
      <c r="S445" s="88">
        <f>IFERROR(VLOOKUP(B445,'Salary sheet'!$B$3:$N$500,5,0),"")</f>
        <v/>
      </c>
    </row>
    <row r="446">
      <c r="S446" s="88">
        <f>IFERROR(VLOOKUP(B446,'Salary sheet'!$B$3:$N$500,5,0),"")</f>
        <v/>
      </c>
    </row>
    <row r="447">
      <c r="S447" s="88">
        <f>IFERROR(VLOOKUP(B447,'Salary sheet'!$B$3:$N$500,5,0),"")</f>
        <v/>
      </c>
    </row>
    <row r="448">
      <c r="S448" s="88">
        <f>IFERROR(VLOOKUP(B448,'Salary sheet'!$B$3:$N$500,5,0),"")</f>
        <v/>
      </c>
    </row>
    <row r="449">
      <c r="S449" s="88">
        <f>IFERROR(VLOOKUP(B449,'Salary sheet'!$B$3:$N$500,5,0),"")</f>
        <v/>
      </c>
    </row>
    <row r="450">
      <c r="S450" s="88">
        <f>IFERROR(VLOOKUP(B450,'Salary sheet'!$B$3:$N$500,5,0),"")</f>
        <v/>
      </c>
    </row>
    <row r="451">
      <c r="S451" s="88">
        <f>IFERROR(VLOOKUP(B451,'Salary sheet'!$B$3:$N$500,5,0),"")</f>
        <v/>
      </c>
    </row>
    <row r="452">
      <c r="S452" s="88">
        <f>IFERROR(VLOOKUP(B452,'Salary sheet'!$B$3:$N$500,5,0),"")</f>
        <v/>
      </c>
    </row>
    <row r="453">
      <c r="S453" s="88">
        <f>IFERROR(VLOOKUP(B453,'Salary sheet'!$B$3:$N$500,5,0),"")</f>
        <v/>
      </c>
    </row>
    <row r="454">
      <c r="S454" s="88">
        <f>IFERROR(VLOOKUP(B454,'Salary sheet'!$B$3:$N$500,5,0),"")</f>
        <v/>
      </c>
    </row>
    <row r="455">
      <c r="S455" s="88">
        <f>IFERROR(VLOOKUP(B455,'Salary sheet'!$B$3:$N$500,5,0),"")</f>
        <v/>
      </c>
    </row>
    <row r="456">
      <c r="S456" s="88">
        <f>IFERROR(VLOOKUP(B456,'Salary sheet'!$B$3:$N$500,5,0),"")</f>
        <v/>
      </c>
    </row>
    <row r="457">
      <c r="S457" s="88">
        <f>IFERROR(VLOOKUP(B457,'Salary sheet'!$B$3:$N$500,5,0),"")</f>
        <v/>
      </c>
    </row>
    <row r="458">
      <c r="S458" s="88">
        <f>IFERROR(VLOOKUP(B458,'Salary sheet'!$B$3:$N$500,5,0),"")</f>
        <v/>
      </c>
    </row>
    <row r="459">
      <c r="S459" s="88">
        <f>IFERROR(VLOOKUP(B459,'Salary sheet'!$B$3:$N$500,5,0),"")</f>
        <v/>
      </c>
    </row>
    <row r="460">
      <c r="S460" s="88">
        <f>IFERROR(VLOOKUP(B460,'Salary sheet'!$B$3:$N$500,5,0),"")</f>
        <v/>
      </c>
    </row>
    <row r="461">
      <c r="S461" s="88">
        <f>IFERROR(VLOOKUP(B461,'Salary sheet'!$B$3:$N$500,5,0),"")</f>
        <v/>
      </c>
    </row>
    <row r="462">
      <c r="S462" s="88">
        <f>IFERROR(VLOOKUP(B462,'Salary sheet'!$B$3:$N$500,5,0),"")</f>
        <v/>
      </c>
    </row>
    <row r="463">
      <c r="S463" s="88">
        <f>IFERROR(VLOOKUP(B463,'Salary sheet'!$B$3:$N$500,5,0),"")</f>
        <v/>
      </c>
    </row>
    <row r="464">
      <c r="S464" s="88">
        <f>IFERROR(VLOOKUP(B464,'Salary sheet'!$B$3:$N$500,5,0),"")</f>
        <v/>
      </c>
    </row>
    <row r="465">
      <c r="S465" s="88">
        <f>IFERROR(VLOOKUP(B465,'Salary sheet'!$B$3:$N$500,5,0),"")</f>
        <v/>
      </c>
    </row>
    <row r="466">
      <c r="S466" s="88">
        <f>IFERROR(VLOOKUP(B466,'Salary sheet'!$B$3:$N$500,5,0),"")</f>
        <v/>
      </c>
    </row>
    <row r="467">
      <c r="S467" s="88">
        <f>IFERROR(VLOOKUP(B467,'Salary sheet'!$B$3:$N$500,5,0),"")</f>
        <v/>
      </c>
    </row>
    <row r="468">
      <c r="S468" s="88">
        <f>IFERROR(VLOOKUP(B468,'Salary sheet'!$B$3:$N$500,5,0),"")</f>
        <v/>
      </c>
    </row>
    <row r="469">
      <c r="S469" s="88">
        <f>IFERROR(VLOOKUP(B469,'Salary sheet'!$B$3:$N$500,5,0),"")</f>
        <v/>
      </c>
    </row>
    <row r="470">
      <c r="S470" s="88">
        <f>IFERROR(VLOOKUP(B470,'Salary sheet'!$B$3:$N$500,5,0),"")</f>
        <v/>
      </c>
    </row>
    <row r="471">
      <c r="S471" s="88">
        <f>IFERROR(VLOOKUP(B471,'Salary sheet'!$B$3:$N$500,5,0),"")</f>
        <v/>
      </c>
    </row>
    <row r="472">
      <c r="S472" s="88">
        <f>IFERROR(VLOOKUP(B472,'Salary sheet'!$B$3:$N$500,5,0),"")</f>
        <v/>
      </c>
    </row>
    <row r="473">
      <c r="S473" s="88">
        <f>IFERROR(VLOOKUP(B473,'Salary sheet'!$B$3:$N$500,5,0),"")</f>
        <v/>
      </c>
    </row>
    <row r="474">
      <c r="S474" s="88">
        <f>IFERROR(VLOOKUP(B474,'Salary sheet'!$B$3:$N$500,5,0),"")</f>
        <v/>
      </c>
    </row>
    <row r="475">
      <c r="S475" s="88">
        <f>IFERROR(VLOOKUP(B475,'Salary sheet'!$B$3:$N$500,5,0),"")</f>
        <v/>
      </c>
    </row>
    <row r="476">
      <c r="S476" s="88">
        <f>IFERROR(VLOOKUP(B476,'Salary sheet'!$B$3:$N$500,5,0),"")</f>
        <v/>
      </c>
    </row>
    <row r="477">
      <c r="S477" s="88">
        <f>IFERROR(VLOOKUP(B477,'Salary sheet'!$B$3:$N$500,5,0),"")</f>
        <v/>
      </c>
    </row>
    <row r="478">
      <c r="S478" s="88">
        <f>IFERROR(VLOOKUP(B478,'Salary sheet'!$B$3:$N$500,5,0),"")</f>
        <v/>
      </c>
    </row>
    <row r="479">
      <c r="S479" s="88">
        <f>IFERROR(VLOOKUP(B479,'Salary sheet'!$B$3:$N$500,5,0),"")</f>
        <v/>
      </c>
    </row>
    <row r="480">
      <c r="S480" s="88">
        <f>IFERROR(VLOOKUP(B480,'Salary sheet'!$B$3:$N$500,5,0),"")</f>
        <v/>
      </c>
    </row>
    <row r="481">
      <c r="S481" s="88">
        <f>IFERROR(VLOOKUP(B481,'Salary sheet'!$B$3:$N$500,5,0),"")</f>
        <v/>
      </c>
    </row>
    <row r="482">
      <c r="S482" s="88">
        <f>IFERROR(VLOOKUP(B482,'Salary sheet'!$B$3:$N$500,5,0),"")</f>
        <v/>
      </c>
    </row>
    <row r="483">
      <c r="S483" s="88">
        <f>IFERROR(VLOOKUP(B483,'Salary sheet'!$B$3:$N$500,5,0),"")</f>
        <v/>
      </c>
    </row>
    <row r="484">
      <c r="S484" s="88">
        <f>IFERROR(VLOOKUP(B484,'Salary sheet'!$B$3:$N$500,5,0),"")</f>
        <v/>
      </c>
    </row>
    <row r="485">
      <c r="S485" s="88">
        <f>IFERROR(VLOOKUP(B485,'Salary sheet'!$B$3:$N$500,5,0),"")</f>
        <v/>
      </c>
    </row>
    <row r="486">
      <c r="S486" s="88">
        <f>IFERROR(VLOOKUP(B486,'Salary sheet'!$B$3:$N$500,5,0),"")</f>
        <v/>
      </c>
    </row>
    <row r="487">
      <c r="S487" s="88">
        <f>IFERROR(VLOOKUP(B487,'Salary sheet'!$B$3:$N$500,5,0),"")</f>
        <v/>
      </c>
    </row>
    <row r="488">
      <c r="S488" s="88">
        <f>IFERROR(VLOOKUP(B488,'Salary sheet'!$B$3:$N$500,5,0),"")</f>
        <v/>
      </c>
    </row>
    <row r="489">
      <c r="S489" s="88">
        <f>IFERROR(VLOOKUP(B489,'Salary sheet'!$B$3:$N$500,5,0),"")</f>
        <v/>
      </c>
    </row>
    <row r="490">
      <c r="S490" s="88">
        <f>IFERROR(VLOOKUP(B490,'Salary sheet'!$B$3:$N$500,5,0),"")</f>
        <v/>
      </c>
    </row>
    <row r="491">
      <c r="S491" s="88">
        <f>IFERROR(VLOOKUP(B491,'Salary sheet'!$B$3:$N$500,5,0),"")</f>
        <v/>
      </c>
    </row>
    <row r="492">
      <c r="S492" s="88">
        <f>IFERROR(VLOOKUP(B492,'Salary sheet'!$B$3:$N$500,5,0),"")</f>
        <v/>
      </c>
    </row>
    <row r="493">
      <c r="S493" s="88">
        <f>IFERROR(VLOOKUP(B493,'Salary sheet'!$B$3:$N$500,5,0),"")</f>
        <v/>
      </c>
    </row>
    <row r="494">
      <c r="S494" s="88">
        <f>IFERROR(VLOOKUP(B494,'Salary sheet'!$B$3:$N$500,5,0),"")</f>
        <v/>
      </c>
    </row>
    <row r="495">
      <c r="S495" s="88">
        <f>IFERROR(VLOOKUP(B495,'Salary sheet'!$B$3:$N$500,5,0),"")</f>
        <v/>
      </c>
    </row>
    <row r="496">
      <c r="S496" s="88">
        <f>IFERROR(VLOOKUP(B496,'Salary sheet'!$B$3:$N$500,5,0),"")</f>
        <v/>
      </c>
    </row>
    <row r="497">
      <c r="S497" s="88">
        <f>IFERROR(VLOOKUP(B497,'Salary sheet'!$B$3:$N$500,5,0),"")</f>
        <v/>
      </c>
    </row>
    <row r="498">
      <c r="S498" s="88">
        <f>IFERROR(VLOOKUP(B498,'Salary sheet'!$B$3:$N$500,5,0),"")</f>
        <v/>
      </c>
    </row>
  </sheetData>
  <autoFilter ref="A1:Q32"/>
  <hyperlinks>
    <hyperlink xmlns:r="http://schemas.openxmlformats.org/officeDocument/2006/relationships" ref="D5" r:id="rId1"/>
    <hyperlink xmlns:r="http://schemas.openxmlformats.org/officeDocument/2006/relationships" ref="D6" r:id="rId2"/>
    <hyperlink xmlns:r="http://schemas.openxmlformats.org/officeDocument/2006/relationships" ref="D7" r:id="rId3"/>
    <hyperlink xmlns:r="http://schemas.openxmlformats.org/officeDocument/2006/relationships" ref="D8" r:id="rId4"/>
    <hyperlink xmlns:r="http://schemas.openxmlformats.org/officeDocument/2006/relationships" ref="D10" r:id="rId5"/>
    <hyperlink xmlns:r="http://schemas.openxmlformats.org/officeDocument/2006/relationships" ref="D12" r:id="rId6"/>
    <hyperlink xmlns:r="http://schemas.openxmlformats.org/officeDocument/2006/relationships" ref="D13" r:id="rId7"/>
    <hyperlink xmlns:r="http://schemas.openxmlformats.org/officeDocument/2006/relationships" ref="D15" r:id="rId8"/>
    <hyperlink xmlns:r="http://schemas.openxmlformats.org/officeDocument/2006/relationships" ref="D16" r:id="rId9"/>
    <hyperlink xmlns:r="http://schemas.openxmlformats.org/officeDocument/2006/relationships" ref="D17" r:id="rId10"/>
    <hyperlink xmlns:r="http://schemas.openxmlformats.org/officeDocument/2006/relationships" ref="D18" r:id="rId11"/>
    <hyperlink xmlns:r="http://schemas.openxmlformats.org/officeDocument/2006/relationships" ref="D19" r:id="rId12"/>
    <hyperlink xmlns:r="http://schemas.openxmlformats.org/officeDocument/2006/relationships" ref="D21" r:id="rId13"/>
    <hyperlink xmlns:r="http://schemas.openxmlformats.org/officeDocument/2006/relationships" ref="D22" r:id="rId14"/>
    <hyperlink xmlns:r="http://schemas.openxmlformats.org/officeDocument/2006/relationships" ref="D23" r:id="rId15"/>
    <hyperlink xmlns:r="http://schemas.openxmlformats.org/officeDocument/2006/relationships" ref="D26" r:id="rId16"/>
    <hyperlink xmlns:r="http://schemas.openxmlformats.org/officeDocument/2006/relationships" ref="D27" r:id="rId17"/>
    <hyperlink xmlns:r="http://schemas.openxmlformats.org/officeDocument/2006/relationships" ref="D28" r:id="rId18"/>
    <hyperlink xmlns:r="http://schemas.openxmlformats.org/officeDocument/2006/relationships" ref="D33" r:id="rId19"/>
    <hyperlink xmlns:r="http://schemas.openxmlformats.org/officeDocument/2006/relationships" ref="D35" r:id="rId20"/>
  </hyperlinks>
  <pageMargins left="0.7" right="0.7" top="0.75" bottom="0.75" header="0.511811023622047" footer="0.511811023622047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A1:XFB46"/>
  <sheetViews>
    <sheetView showGridLines="0" zoomScale="80" zoomScaleNormal="80" workbookViewId="0">
      <selection activeCell="M1" sqref="M1"/>
    </sheetView>
  </sheetViews>
  <sheetFormatPr baseColWidth="8" defaultColWidth="9.1796875" defaultRowHeight="14.5"/>
  <cols>
    <col width="9.1796875" customWidth="1" style="25" min="1" max="1"/>
    <col width="9.1796875" customWidth="1" style="26" min="2" max="2"/>
    <col width="25" customWidth="1" style="25" min="3" max="3"/>
    <col width="1" customWidth="1" style="25" min="4" max="4"/>
    <col width="14.453125" customWidth="1" style="25" min="5" max="5"/>
    <col width="15" customWidth="1" style="25" min="6" max="6"/>
    <col width="18" customWidth="1" style="25" min="7" max="7"/>
    <col width="4.81640625" customWidth="1" style="25" min="8" max="8"/>
    <col width="15.26953125" customWidth="1" style="25" min="9" max="9"/>
    <col width="12.453125" customWidth="1" style="25" min="10" max="10"/>
    <col width="4" customWidth="1" style="25" min="11" max="11"/>
    <col width="9.1796875" customWidth="1" style="25" min="12" max="12"/>
    <col width="23.1796875" customWidth="1" style="25" min="13" max="13"/>
    <col width="15.81640625" customWidth="1" style="25" min="14" max="14"/>
    <col width="9.1796875" customWidth="1" style="25" min="15" max="15"/>
    <col width="12.81640625" customWidth="1" style="25" min="16" max="16"/>
    <col width="9.1796875" customWidth="1" style="25" min="17" max="16380"/>
    <col width="9.1796875" customWidth="1" style="25" min="16383" max="16384"/>
  </cols>
  <sheetData>
    <row r="1" ht="14.25" customHeight="1" s="103">
      <c r="A1" s="27" t="n"/>
      <c r="B1" s="27" t="n"/>
      <c r="E1" s="28" t="n"/>
      <c r="M1" s="29" t="inlineStr">
        <is>
          <t>Helper cells (auto-calculated - do not edit)</t>
        </is>
      </c>
      <c r="N1" s="126" t="n"/>
      <c r="O1" s="107" t="n"/>
      <c r="P1" s="30">
        <f>ROUND($F$31,0)</f>
        <v/>
      </c>
      <c r="Q1" s="29">
        <f>IF(P4=0,"",IF(P4&lt;20,CHOOSE(P4+1,"","One","Two","Three","Four","Five","Six","Seven","Eight","Nine","Ten","Eleven","Twelve","Thirteen","Fourteen","Fifteen","Sixteen","Seventeen","Eighteen","Nineteen"),CHOOSE(INT(P4/10)-1,"Twenty","Thirty","Forty","Fifty","Sixty","Seventy","Eighty","Ninety")&amp;IF(MOD(P4,10)=0,""," "&amp;CHOOSE(MOD(P4,10),"One","Two","Three","Four","Five","Six","Seven","Eight","Nine"))))</f>
        <v/>
      </c>
      <c r="S1" s="31" t="n"/>
      <c r="T1" s="31" t="n"/>
    </row>
    <row r="2" ht="28.5" customHeight="1" s="103">
      <c r="A2" s="32" t="n"/>
      <c r="B2" s="32" t="n"/>
      <c r="C2" s="135">
        <f>"PAYSLIP "&amp;UPPER(SUBSTITUTE(M4,"'","-"))</f>
        <v/>
      </c>
      <c r="D2" s="107" t="n"/>
      <c r="E2" s="107" t="n"/>
      <c r="F2" s="107" t="n"/>
      <c r="G2" s="107" t="n"/>
      <c r="H2" s="107" t="n"/>
      <c r="I2" s="107" t="n"/>
      <c r="J2" s="107" t="n"/>
      <c r="K2" s="107" t="n"/>
      <c r="M2" s="29">
        <f>Generator!$C$4</f>
        <v/>
      </c>
      <c r="P2" s="29">
        <f>INT(P1/10000000)</f>
        <v/>
      </c>
      <c r="Q2" s="29">
        <f>IF(P5=0,"",CHOOSE(P5,"One","Two","Three","Four","Five","Six","Seven","Eight","Nine"))</f>
        <v/>
      </c>
    </row>
    <row r="3" ht="85.5" customHeight="1" s="103">
      <c r="C3" s="131" t="inlineStr">
        <is>
          <t xml:space="preserve">INFUTIVE TECHNOLOGY PVT LTD
</t>
        </is>
      </c>
      <c r="D3" s="107" t="n"/>
      <c r="E3" s="107" t="n"/>
      <c r="F3" s="107" t="n"/>
      <c r="G3" s="107" t="n"/>
      <c r="H3" s="107" t="n"/>
      <c r="I3" s="107" t="n"/>
      <c r="J3" s="107" t="n"/>
      <c r="K3" s="107" t="n"/>
      <c r="M3" s="29">
        <f>LEFT(M2,FIND(" - ",M2)-1)</f>
        <v/>
      </c>
      <c r="P3" s="29">
        <f>INT(MOD(P1,10000000)/100000)</f>
        <v/>
      </c>
      <c r="Q3" s="29">
        <f>IF(P6=0,"",IF(P6&lt;20,CHOOSE(P6+1,"","One","Two","Three","Four","Five","Six","Seven","Eight","Nine","Ten","Eleven","Twelve","Thirteen","Fourteen","Fifteen","Sixteen","Seventeen","Eighteen","Nineteen"),CHOOSE(INT(P6/10)-1,"Twenty","Thirty","Forty","Fifty","Sixty","Seventy","Eighty","Ninety")&amp;IF(MOD(P6,10)=0,""," "&amp;CHOOSE(MOD(P6,10),"One","Two","Three","Four","Five","Six","Seven","Eight","Nine"))))</f>
        <v/>
      </c>
    </row>
    <row r="4" ht="28" customHeight="1" s="103">
      <c r="C4" s="80">
        <f>M21</f>
        <v/>
      </c>
      <c r="D4" s="133" t="n"/>
      <c r="E4" s="134" t="n"/>
      <c r="F4" s="134" t="n"/>
      <c r="G4" s="134" t="n"/>
      <c r="H4" s="134" t="n"/>
      <c r="I4" s="134" t="n"/>
      <c r="J4" s="134" t="n"/>
      <c r="K4" s="134" t="n"/>
      <c r="M4" s="29">
        <f>Generator!$C$6</f>
        <v/>
      </c>
      <c r="P4" s="29">
        <f>INT(MOD(P1,100000)/1000)</f>
        <v/>
      </c>
      <c r="Q4" s="29">
        <f>TRIM(IF(P2&gt;0,P7&amp;" Crore ","")&amp;IF(P3&gt;0,P8&amp;" Lakh ","")&amp;IF(P4&gt;0,Q1&amp;" Thousand ","")&amp;IF(P5&gt;0,Q2&amp;" Hundred ","")&amp;Q3)</f>
        <v/>
      </c>
    </row>
    <row r="5" ht="6" customHeight="1" s="103">
      <c r="C5" s="122" t="n"/>
      <c r="D5" s="107" t="n"/>
      <c r="E5" s="107" t="n"/>
      <c r="F5" s="107" t="n"/>
      <c r="G5" s="107" t="n"/>
      <c r="H5" s="107" t="n"/>
      <c r="I5" s="107" t="n"/>
      <c r="J5" s="107" t="n"/>
      <c r="K5" s="107" t="n"/>
      <c r="M5" s="29">
        <f>MATCH(M4,{"Apr'26","May'26","Jun'26","Jul'26","Aug'26","Sep'26","Oct'26","Nov'26","Dec'26","Jan'27","Feb'27","Mar'27"},0)</f>
        <v/>
      </c>
      <c r="P5" s="29">
        <f>INT(MOD(P1,1000)/100)</f>
        <v/>
      </c>
      <c r="Q5" s="29">
        <f>IF(P1=0,"Zero",Q4)&amp;" Only."</f>
        <v/>
      </c>
    </row>
    <row r="6" ht="12" customHeight="1" s="103">
      <c r="C6" s="114" t="inlineStr">
        <is>
          <t>Emp No</t>
        </is>
      </c>
      <c r="D6" s="114" t="inlineStr">
        <is>
          <t>Date Of Birth</t>
        </is>
      </c>
      <c r="E6" s="107" t="n"/>
      <c r="F6" s="107" t="n"/>
      <c r="G6" s="114" t="inlineStr">
        <is>
          <t>PAN</t>
        </is>
      </c>
      <c r="H6" s="107" t="n"/>
      <c r="I6" s="114" t="inlineStr">
        <is>
          <t>Date Joined</t>
        </is>
      </c>
      <c r="J6" s="107" t="n"/>
      <c r="K6" s="107" t="n"/>
      <c r="M6" s="29">
        <f>MATCH(M3,'Salary sheet'!$A$3:$A$500,0)+2</f>
        <v/>
      </c>
      <c r="P6" s="29">
        <f>MOD(P1,100)</f>
        <v/>
      </c>
    </row>
    <row r="7" ht="22.5" customHeight="1" s="103">
      <c r="C7" s="33">
        <f>M3</f>
        <v/>
      </c>
      <c r="D7" s="125">
        <f>IF(OR(M22="",M22=0),"",M22)</f>
        <v/>
      </c>
      <c r="E7" s="112" t="n"/>
      <c r="F7" s="112" t="n"/>
      <c r="G7" s="117">
        <f>IF(OR(M23="",M23=0),"",M23)</f>
        <v/>
      </c>
      <c r="H7" s="112" t="n"/>
      <c r="I7" s="111">
        <f>IF(OR(M24="",M24=0),"",M24)</f>
        <v/>
      </c>
      <c r="J7" s="112" t="n"/>
      <c r="K7" s="112" t="n"/>
      <c r="M7" s="29">
        <f>MATCH(M3,'Master Data'!$A$2:$A$498,0)+1</f>
        <v/>
      </c>
      <c r="P7" s="29">
        <f>IF(P2=0,"",IF(P2&lt;20,CHOOSE(P2+1,"","One","Two","Three","Four","Five","Six","Seven","Eight","Nine","Ten","Eleven","Twelve","Thirteen","Fourteen","Fifteen","Sixteen","Seventeen","Eighteen","Nineteen"),CHOOSE(INT(P2/10)-1,"Twenty","Thirty","Forty","Fifty","Sixty","Seventy","Eighty","Ninety")&amp;IF(MOD(P2,10)=0,""," "&amp;CHOOSE(MOD(P2,10),"One","Two","Three","Four","Five","Six","Seven","Eight","Nine"))))</f>
        <v/>
      </c>
    </row>
    <row r="8" ht="6" customHeight="1" s="103">
      <c r="C8" s="122" t="n"/>
      <c r="D8" s="107" t="n"/>
      <c r="E8" s="107" t="n"/>
      <c r="F8" s="107" t="n"/>
      <c r="G8" s="107" t="n"/>
      <c r="H8" s="107" t="n"/>
      <c r="I8" s="107" t="n"/>
      <c r="J8" s="107" t="n"/>
      <c r="K8" s="107" t="n"/>
      <c r="M8" s="34">
        <f>INDEX('Salary sheet'!$L$2:$W$2,1,M5)</f>
        <v/>
      </c>
      <c r="P8" s="29">
        <f>IF(P3=0,"",IF(P3&lt;20,CHOOSE(P3+1,"","One","Two","Three","Four","Five","Six","Seven","Eight","Nine","Ten","Eleven","Twelve","Thirteen","Fourteen","Fifteen","Sixteen","Seventeen","Eighteen","Nineteen"),CHOOSE(INT(P3/10)-1,"Twenty","Thirty","Forty","Fifty","Sixty","Seventy","Eighty","Ninety")&amp;IF(MOD(P3,10)=0,""," "&amp;CHOOSE(MOD(P3,10),"One","Two","Three","Four","Five","Six","Seven","Eight","Nine"))))</f>
        <v/>
      </c>
    </row>
    <row r="9" ht="12" customHeight="1" s="103">
      <c r="C9" s="114" t="inlineStr">
        <is>
          <t>Department</t>
        </is>
      </c>
      <c r="D9" s="114" t="inlineStr">
        <is>
          <t>Designation</t>
        </is>
      </c>
      <c r="E9" s="107" t="n"/>
      <c r="F9" s="107" t="n"/>
      <c r="G9" s="114" t="inlineStr">
        <is>
          <t>Payment Mode</t>
        </is>
      </c>
      <c r="H9" s="107" t="n"/>
      <c r="I9" s="114" t="inlineStr">
        <is>
          <t>Bank Name</t>
        </is>
      </c>
      <c r="J9" s="107" t="n"/>
      <c r="K9" s="107" t="n"/>
      <c r="M9" s="29">
        <f>DAY(M8)</f>
        <v/>
      </c>
    </row>
    <row r="10" ht="22.5" customHeight="1" s="103">
      <c r="C10" s="117">
        <f>IF(OR(M25="",M25=0),"",M25)</f>
        <v/>
      </c>
      <c r="D10" s="117">
        <f>IF(OR(M26="",M26=0),"",M26)</f>
        <v/>
      </c>
      <c r="E10" s="112" t="n"/>
      <c r="F10" s="112" t="n"/>
      <c r="G10" s="117" t="inlineStr">
        <is>
          <t>Bank Transfer</t>
        </is>
      </c>
      <c r="H10" s="112" t="n"/>
      <c r="I10" s="117">
        <f>IF(OR(M27="",M27=0),"",M27)</f>
        <v/>
      </c>
      <c r="J10" s="112" t="n"/>
      <c r="K10" s="112" t="n"/>
      <c r="M10" s="29">
        <f>INDEX('Salary sheet'!$L$3:$W$500,M6-2,M5)</f>
        <v/>
      </c>
    </row>
    <row r="11" ht="6" customHeight="1" s="103">
      <c r="C11" s="122" t="n"/>
      <c r="D11" s="107" t="n"/>
      <c r="E11" s="107" t="n"/>
      <c r="F11" s="107" t="n"/>
      <c r="G11" s="107" t="n"/>
      <c r="H11" s="107" t="n"/>
      <c r="I11" s="107" t="n"/>
      <c r="J11" s="107" t="n"/>
      <c r="K11" s="107" t="n"/>
      <c r="M11" s="29">
        <f>IFERROR(M9-M10,0)</f>
        <v/>
      </c>
    </row>
    <row r="12" ht="12" customHeight="1" s="103">
      <c r="C12" s="114" t="inlineStr">
        <is>
          <t>Bank IFSC</t>
        </is>
      </c>
      <c r="D12" s="114" t="inlineStr">
        <is>
          <t>Bank Account</t>
        </is>
      </c>
      <c r="E12" s="107" t="n"/>
      <c r="F12" s="107" t="n"/>
      <c r="G12" s="114" t="inlineStr">
        <is>
          <t>Monthly Gross</t>
        </is>
      </c>
      <c r="H12" s="107" t="n"/>
      <c r="I12" s="114" t="inlineStr">
        <is>
          <t>UAN</t>
        </is>
      </c>
      <c r="J12" s="107" t="n"/>
      <c r="K12" s="107" t="n"/>
      <c r="M12" s="35">
        <f>INDEX('Salary sheet'!$E$3:$E$500,M6-2)</f>
        <v/>
      </c>
    </row>
    <row r="13" ht="22.5" customHeight="1" s="103">
      <c r="C13" s="117">
        <f>IF(OR(M28="",M28=0),"",M28)</f>
        <v/>
      </c>
      <c r="D13" s="123">
        <f>IF(OR(M29="",M29=0),"",M29)</f>
        <v/>
      </c>
      <c r="E13" s="112" t="n"/>
      <c r="F13" s="112" t="n"/>
      <c r="G13" s="123">
        <f>M15</f>
        <v/>
      </c>
      <c r="H13" s="112" t="n"/>
      <c r="I13" s="123">
        <f>IF(M30="","NA",M30)</f>
        <v/>
      </c>
      <c r="J13" s="112" t="n"/>
      <c r="K13" s="112" t="n"/>
      <c r="M13" s="35">
        <f>INDEX('Salary sheet'!$F$3:$F$500,M6-2)</f>
        <v/>
      </c>
    </row>
    <row r="14" ht="6" customHeight="1" s="103">
      <c r="C14" s="122" t="n"/>
      <c r="D14" s="107" t="n"/>
      <c r="E14" s="107" t="n"/>
      <c r="F14" s="107" t="n"/>
      <c r="G14" s="107" t="n"/>
      <c r="H14" s="107" t="n"/>
      <c r="I14" s="107" t="n"/>
      <c r="J14" s="107" t="n"/>
      <c r="K14" s="107" t="n"/>
      <c r="M14" s="35">
        <f>INDEX('Salary sheet'!$G$3:$G$500,M6-2)</f>
        <v/>
      </c>
    </row>
    <row r="15" ht="32.25" customHeight="1" s="103">
      <c r="C15" s="140" t="inlineStr">
        <is>
          <t xml:space="preserve">
SALARY DETAILS</t>
        </is>
      </c>
      <c r="D15" s="110" t="n"/>
      <c r="E15" s="109" t="n"/>
      <c r="F15" s="110" t="n"/>
      <c r="G15" s="110" t="n"/>
      <c r="H15" s="110" t="n"/>
      <c r="I15" s="110" t="n"/>
      <c r="J15" s="110" t="n"/>
      <c r="K15" s="110" t="n"/>
      <c r="M15" s="35">
        <f>INDEX('Salary sheet'!$J$3:$J$500,M6-2)</f>
        <v/>
      </c>
    </row>
    <row r="16" ht="6" customHeight="1" s="103">
      <c r="C16" s="139">
        <f>IF(AND(M20,M10&lt;=0),"⚠ Attendance is 0 for "&amp;M4&amp;" (employee left / not payable). Salary slip will not be generated for this month.",IF(M20,"","⚠ No attendance/payroll data has been entered yet for this employee in "&amp;M4&amp;". Showing Rs. 0 until the Salary sheet is updated."))</f>
        <v/>
      </c>
      <c r="D16" s="107" t="n"/>
      <c r="E16" s="107" t="n"/>
      <c r="F16" s="107" t="n"/>
      <c r="G16" s="107" t="n"/>
      <c r="H16" s="107" t="n"/>
      <c r="I16" s="107" t="n"/>
      <c r="J16" s="107" t="n"/>
      <c r="K16" s="107" t="n"/>
      <c r="M16" s="29">
        <f>IFERROR(ROUND(M12/M9*M10,0),0)</f>
        <v/>
      </c>
    </row>
    <row r="17" ht="18.75" customHeight="1" s="103">
      <c r="C17" s="132" t="inlineStr">
        <is>
          <t>ACTUAL PAYABLE DAYS</t>
        </is>
      </c>
      <c r="D17" s="107" t="n"/>
      <c r="E17" s="114" t="inlineStr">
        <is>
          <t>TOTAL WORKING DAYS</t>
        </is>
      </c>
      <c r="F17" s="107" t="n"/>
      <c r="G17" s="114" t="inlineStr">
        <is>
          <t>LOSS OF PAY DAYS</t>
        </is>
      </c>
      <c r="H17" s="107" t="n"/>
      <c r="I17" s="114" t="inlineStr">
        <is>
          <t>DAYS PAYABLE</t>
        </is>
      </c>
      <c r="J17" s="113" t="n"/>
      <c r="K17" s="107" t="n"/>
      <c r="M17" s="29">
        <f>IFERROR(ROUND(M13/M9*M10,0),0)</f>
        <v/>
      </c>
    </row>
    <row r="18" ht="27" customHeight="1" s="103">
      <c r="C18" s="124">
        <f>IF(M20,M10,"-")</f>
        <v/>
      </c>
      <c r="D18" s="107" t="n"/>
      <c r="E18" s="124">
        <f>M9</f>
        <v/>
      </c>
      <c r="F18" s="107" t="n"/>
      <c r="G18" s="124">
        <f>IF(M20,M11,"-")</f>
        <v/>
      </c>
      <c r="H18" s="107" t="n"/>
      <c r="I18" s="37">
        <f>IF(M20,M10,"-")</f>
        <v/>
      </c>
      <c r="J18" s="113" t="n"/>
      <c r="K18" s="107" t="n"/>
      <c r="M18" s="29">
        <f>IFERROR(ROUND(M14/M9*M10,0),0)</f>
        <v/>
      </c>
    </row>
    <row r="19" ht="5.25" customHeight="1" s="103">
      <c r="C19" s="129" t="n"/>
      <c r="D19" s="112" t="n"/>
      <c r="E19" s="112" t="n"/>
      <c r="F19" s="112" t="n"/>
      <c r="G19" s="112" t="n"/>
      <c r="H19" s="112" t="n"/>
      <c r="I19" s="112" t="n"/>
      <c r="J19" s="112" t="n"/>
      <c r="K19" s="112" t="n"/>
      <c r="M19" s="29">
        <f>SUM(M16:M18)</f>
        <v/>
      </c>
    </row>
    <row r="20" ht="21.75" customHeight="1" s="103">
      <c r="C20" s="120" t="inlineStr">
        <is>
          <t>EARNINGS</t>
        </is>
      </c>
      <c r="D20" s="107" t="n"/>
      <c r="E20" s="128" t="inlineStr">
        <is>
          <t>Amount</t>
        </is>
      </c>
      <c r="F20" s="39" t="inlineStr">
        <is>
          <t>YTD</t>
        </is>
      </c>
      <c r="G20" s="120" t="inlineStr">
        <is>
          <t>CONTRIBUTIONS</t>
        </is>
      </c>
      <c r="H20" s="107" t="n"/>
      <c r="I20" s="128" t="inlineStr">
        <is>
          <t>Amount</t>
        </is>
      </c>
      <c r="J20" s="128" t="inlineStr">
        <is>
          <t>YTD</t>
        </is>
      </c>
      <c r="K20" s="107" t="n"/>
      <c r="M20" s="29">
        <f>ISNUMBER(M10)</f>
        <v/>
      </c>
      <c r="XFA20" s="40" t="inlineStr">
        <is>
          <t>As per YTD</t>
        </is>
      </c>
      <c r="XFB20" s="40" t="inlineStr">
        <is>
          <t>As per Register</t>
        </is>
      </c>
    </row>
    <row r="21" ht="27.75" customHeight="1" s="103">
      <c r="B21" s="26">
        <f>IFERROR(VLOOKUP($C21,$XFA$21:$XFB$34,2,0),"")</f>
        <v/>
      </c>
      <c r="C21" s="121" t="inlineStr">
        <is>
          <t>Basic</t>
        </is>
      </c>
      <c r="D21" s="107" t="n"/>
      <c r="E21" s="41">
        <f>IF(M20,M16,0)</f>
        <v/>
      </c>
      <c r="F21" s="42">
        <f>M33</f>
        <v/>
      </c>
      <c r="G21" s="124" t="inlineStr">
        <is>
          <t>PF Employee</t>
        </is>
      </c>
      <c r="H21" s="107" t="n"/>
      <c r="I21" s="115">
        <f>IF(M20,M36,0)</f>
        <v/>
      </c>
      <c r="J21" s="115">
        <f>IF(M20,M38,0)</f>
        <v/>
      </c>
      <c r="K21" s="107" t="n"/>
      <c r="L21" s="44" t="n"/>
      <c r="M21" s="45">
        <f>INDEX('Master Data'!$B$2:$B$498,M7-1)</f>
        <v/>
      </c>
      <c r="N21" s="27">
        <f>M21</f>
        <v/>
      </c>
      <c r="O21" s="26" t="n"/>
      <c r="P21" s="46" t="n"/>
      <c r="XFA21" s="47" t="inlineStr">
        <is>
          <t>Basic</t>
        </is>
      </c>
      <c r="XFB21" s="47" t="inlineStr">
        <is>
          <t>ERN_BASIC</t>
        </is>
      </c>
    </row>
    <row r="22" ht="22.5" customHeight="1" s="103">
      <c r="B22" s="26">
        <f>IFERROR(VLOOKUP(#REF!,$XFA$21:$XFB$34,2,0),"")</f>
        <v/>
      </c>
      <c r="C22" s="108" t="inlineStr">
        <is>
          <t>HRA</t>
        </is>
      </c>
      <c r="D22" s="107" t="n"/>
      <c r="E22" s="41">
        <f>IF(M20,M17,0)</f>
        <v/>
      </c>
      <c r="F22" s="42">
        <f>M34</f>
        <v/>
      </c>
      <c r="G22" s="124" t="inlineStr">
        <is>
          <t>ESIC Employee</t>
        </is>
      </c>
      <c r="H22" s="107" t="n"/>
      <c r="I22" s="115" t="n">
        <v>0</v>
      </c>
      <c r="J22" s="115" t="n">
        <v>0</v>
      </c>
      <c r="K22" s="107" t="n"/>
      <c r="M22" s="48">
        <f>INDEX('Master Data'!$E$2:$E$498,M7-1)</f>
        <v/>
      </c>
      <c r="N22" s="27">
        <f>M23</f>
        <v/>
      </c>
      <c r="O22" s="26" t="n"/>
      <c r="P22" s="46" t="n"/>
      <c r="XFA22" s="47" t="inlineStr">
        <is>
          <t>HRA</t>
        </is>
      </c>
      <c r="XFB22" s="47" t="inlineStr">
        <is>
          <t>ERN_HRA</t>
        </is>
      </c>
    </row>
    <row r="23" ht="28.5" customHeight="1" s="103">
      <c r="B23" s="26">
        <f>IFERROR(VLOOKUP($C22,$XFA$21:$XFB$34,2,0),"")</f>
        <v/>
      </c>
      <c r="C23" s="108" t="inlineStr">
        <is>
          <t>Special Allowance</t>
        </is>
      </c>
      <c r="D23" s="107" t="n"/>
      <c r="E23" s="41">
        <f>IF(M20,M18,0)</f>
        <v/>
      </c>
      <c r="F23" s="42">
        <f>N33</f>
        <v/>
      </c>
      <c r="G23" s="124" t="inlineStr">
        <is>
          <t>Income Tax</t>
        </is>
      </c>
      <c r="H23" s="107" t="n"/>
      <c r="I23" s="115">
        <f>IF(M20,M37,0)</f>
        <v/>
      </c>
      <c r="J23" s="115">
        <f>IF(M20,M39,0)</f>
        <v/>
      </c>
      <c r="K23" s="107" t="n"/>
      <c r="M23" s="45">
        <f>INDEX('Master Data'!$J$2:$J$498,M7-1)</f>
        <v/>
      </c>
      <c r="N23" s="27">
        <f>M25</f>
        <v/>
      </c>
      <c r="O23" s="26" t="n"/>
      <c r="P23" s="46" t="n"/>
      <c r="XFA23" s="47" t="inlineStr">
        <is>
          <t>Special Allowance</t>
        </is>
      </c>
      <c r="XFB23" s="47" t="inlineStr">
        <is>
          <t>ERN_SPLALL</t>
        </is>
      </c>
    </row>
    <row r="24" ht="27.75" customHeight="1" s="103">
      <c r="B24" s="26">
        <f>IFERROR(VLOOKUP(#REF!,$XFA$21:$XFB$34,2,0),"")</f>
        <v/>
      </c>
      <c r="C24" s="108" t="n"/>
      <c r="D24" s="107" t="n"/>
      <c r="E24" s="41" t="n"/>
      <c r="F24" s="42" t="n"/>
      <c r="G24" s="130" t="inlineStr">
        <is>
          <t>Total Contributions (B)</t>
        </is>
      </c>
      <c r="H24" s="107" t="n"/>
      <c r="I24" s="106">
        <f>I21+I22+I23</f>
        <v/>
      </c>
      <c r="J24" s="106">
        <f>J21+J22+J23</f>
        <v/>
      </c>
      <c r="K24" s="107" t="n"/>
      <c r="M24" s="48">
        <f>INDEX('Master Data'!$G$2:$G$498,M7-1)</f>
        <v/>
      </c>
      <c r="N24" s="27">
        <f>M26</f>
        <v/>
      </c>
      <c r="O24" s="26" t="n"/>
      <c r="P24" s="46" t="n"/>
      <c r="XFA24" s="47" t="inlineStr">
        <is>
          <t>Conveyance Allowance</t>
        </is>
      </c>
      <c r="XFB24" s="47" t="inlineStr">
        <is>
          <t>ERN_CONV</t>
        </is>
      </c>
    </row>
    <row r="25" ht="27.75" customHeight="1" s="103">
      <c r="B25" s="26">
        <f>IFERROR(VLOOKUP($C25,$XFA$21:$XFB$34,2,0),"")</f>
        <v/>
      </c>
      <c r="C25" s="108" t="n"/>
      <c r="D25" s="107" t="n"/>
      <c r="E25" s="41" t="n"/>
      <c r="F25" s="42" t="n"/>
      <c r="G25" s="120" t="inlineStr">
        <is>
          <t>TAXES &amp;
DEDUCTIONS</t>
        </is>
      </c>
      <c r="H25" s="107" t="n"/>
      <c r="I25" s="128" t="inlineStr">
        <is>
          <t>Amount</t>
        </is>
      </c>
      <c r="J25" s="128" t="inlineStr">
        <is>
          <t>YTD</t>
        </is>
      </c>
      <c r="K25" s="107" t="n"/>
      <c r="M25" s="45">
        <f>INDEX('Master Data'!$O$2:$O$498,M7-1)</f>
        <v/>
      </c>
      <c r="N25" s="27">
        <f>M27</f>
        <v/>
      </c>
      <c r="O25" s="26" t="n"/>
      <c r="XFA25" s="47" t="inlineStr">
        <is>
          <t>Medical Allowance</t>
        </is>
      </c>
      <c r="XFB25" s="47" t="inlineStr">
        <is>
          <t>ERN_Medical</t>
        </is>
      </c>
    </row>
    <row r="26" ht="27.75" customHeight="1" s="103">
      <c r="B26" s="26">
        <f>IFERROR(VLOOKUP($C26,$XFA$21:$XFB$34,2,0),"")</f>
        <v/>
      </c>
      <c r="C26" s="108" t="n"/>
      <c r="D26" s="107" t="n"/>
      <c r="E26" s="41" t="n"/>
      <c r="F26" s="42" t="n"/>
      <c r="G26" s="124" t="inlineStr">
        <is>
          <t>TDS</t>
        </is>
      </c>
      <c r="H26" s="107" t="n"/>
      <c r="I26" s="115" t="n">
        <v>0</v>
      </c>
      <c r="J26" s="115" t="n">
        <v>0</v>
      </c>
      <c r="K26" s="107" t="n"/>
      <c r="M26" s="45">
        <f>INDEX('Master Data'!$P$2:$P$498,M7-1)</f>
        <v/>
      </c>
      <c r="N26" s="27">
        <f>M28</f>
        <v/>
      </c>
      <c r="O26" s="26" t="n"/>
      <c r="XFA26" s="47" t="inlineStr">
        <is>
          <t>Travel Reimbursement (LTA)</t>
        </is>
      </c>
      <c r="XFB26" s="47" t="inlineStr">
        <is>
          <t>ERN_LTA</t>
        </is>
      </c>
    </row>
    <row r="27" ht="25.5" customHeight="1" s="103">
      <c r="B27" s="26">
        <f>IFERROR(VLOOKUP($C23,$XFA$21:$XFB$34,2,0),"")</f>
        <v/>
      </c>
      <c r="F27" s="42" t="n"/>
      <c r="G27" s="124" t="inlineStr">
        <is>
          <t>Other Deductions</t>
        </is>
      </c>
      <c r="H27" s="107" t="n"/>
      <c r="I27" s="115" t="n">
        <v>0</v>
      </c>
      <c r="J27" s="115" t="n">
        <v>0</v>
      </c>
      <c r="K27" s="107" t="n"/>
      <c r="M27" s="45">
        <f>INDEX('Master Data'!$L$2:$L$498,M7-1)</f>
        <v/>
      </c>
      <c r="N27" s="27">
        <f>M30</f>
        <v/>
      </c>
      <c r="O27" s="26" t="n"/>
      <c r="XFA27" s="47" t="inlineStr">
        <is>
          <t>Retention Bonus</t>
        </is>
      </c>
      <c r="XFB27" s="47" t="inlineStr">
        <is>
          <t>Retention Bonus</t>
        </is>
      </c>
    </row>
    <row r="28" ht="21.75" customHeight="1" s="103">
      <c r="B28" s="26">
        <f>IFERROR(VLOOKUP($C28,$XFA$21:$XFB$34,2,0),"")</f>
        <v/>
      </c>
      <c r="C28" s="121" t="n"/>
      <c r="D28" s="107" t="n"/>
      <c r="E28" s="41" t="n"/>
      <c r="F28" s="42" t="n"/>
      <c r="G28" s="120" t="inlineStr">
        <is>
          <t>Total Deductions (C)</t>
        </is>
      </c>
      <c r="H28" s="107" t="n"/>
      <c r="I28" s="137">
        <f>I26+I27</f>
        <v/>
      </c>
      <c r="J28" s="137">
        <f>J26+J27</f>
        <v/>
      </c>
      <c r="K28" s="107" t="n"/>
      <c r="M28" s="45">
        <f>INDEX('Master Data'!$N$2:$N$498,M7-1)</f>
        <v/>
      </c>
      <c r="N28" s="27">
        <f>M31</f>
        <v/>
      </c>
      <c r="O28" s="26" t="n"/>
      <c r="XFA28" s="47" t="inlineStr">
        <is>
          <t>Shift Allowance</t>
        </is>
      </c>
      <c r="XFB28" s="47" t="inlineStr">
        <is>
          <t>Shift Allowance</t>
        </is>
      </c>
    </row>
    <row r="29" ht="25.5" customHeight="1" s="103">
      <c r="C29" s="130" t="inlineStr">
        <is>
          <t>Total Earnings (A)</t>
        </is>
      </c>
      <c r="D29" s="107" t="n"/>
      <c r="E29" s="106">
        <f>SUM(E21:E28)</f>
        <v/>
      </c>
      <c r="F29" s="106">
        <f>SUM(F21:F28)</f>
        <v/>
      </c>
      <c r="G29" s="124" t="n"/>
      <c r="H29" s="124" t="n"/>
      <c r="I29" s="115" t="n"/>
      <c r="J29" s="115" t="n"/>
      <c r="K29" s="51" t="n"/>
      <c r="M29" s="45">
        <f>INDEX('Master Data'!$M$2:$M$498,M7-1)</f>
        <v/>
      </c>
      <c r="N29" s="27" t="n"/>
      <c r="O29" s="26" t="n"/>
      <c r="XFA29" s="47" t="inlineStr">
        <is>
          <t>INCENTIVE</t>
        </is>
      </c>
      <c r="XFB29" s="47" t="inlineStr">
        <is>
          <t>INCENTIVE</t>
        </is>
      </c>
    </row>
    <row r="30" ht="25.5" customHeight="1" s="103">
      <c r="C30" s="118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M30" s="45">
        <f>INDEX('Master Data'!$H$2:$H$498,M7-1)</f>
        <v/>
      </c>
      <c r="N30" s="27" t="n"/>
      <c r="O30" s="26" t="n"/>
      <c r="XFA30" s="47" t="inlineStr">
        <is>
          <t>arrear Basic</t>
        </is>
      </c>
      <c r="XFB30" s="47" t="inlineStr">
        <is>
          <t>arrear Basic</t>
        </is>
      </c>
    </row>
    <row r="31" ht="25.5" customHeight="1" s="103">
      <c r="C31" s="127" t="inlineStr">
        <is>
          <t xml:space="preserve">Net Salary Payable ( A - B - C )        </t>
        </is>
      </c>
      <c r="D31" s="107" t="n"/>
      <c r="E31" s="107" t="n"/>
      <c r="F31" s="138">
        <f>E29-I24-I28</f>
        <v/>
      </c>
      <c r="G31" s="107" t="n"/>
      <c r="H31" s="107" t="n"/>
      <c r="I31" s="107" t="n"/>
      <c r="J31" s="107" t="n"/>
      <c r="K31" s="107" t="n"/>
      <c r="M31" s="45">
        <f>M19</f>
        <v/>
      </c>
      <c r="N31" s="27" t="n"/>
      <c r="O31" s="26" t="n"/>
      <c r="XFA31" s="47" t="inlineStr">
        <is>
          <t>arrear HRA</t>
        </is>
      </c>
      <c r="XFB31" s="47" t="inlineStr">
        <is>
          <t>arrear HRA</t>
        </is>
      </c>
    </row>
    <row r="32" ht="14.25" customHeight="1" s="103">
      <c r="C32" s="127" t="inlineStr">
        <is>
          <t xml:space="preserve">Net Salary in words            </t>
        </is>
      </c>
      <c r="D32" s="107" t="n"/>
      <c r="E32" s="107" t="n"/>
      <c r="F32" s="136">
        <f>Q5</f>
        <v/>
      </c>
      <c r="G32" s="107" t="n"/>
      <c r="H32" s="107" t="n"/>
      <c r="I32" s="107" t="n"/>
      <c r="J32" s="107" t="n"/>
      <c r="K32" s="107" t="n"/>
      <c r="M32" s="45">
        <f>Generator!$C$6</f>
        <v/>
      </c>
      <c r="N32" s="27" t="n"/>
      <c r="O32" s="26" t="n"/>
      <c r="XFA32" s="47" t="inlineStr">
        <is>
          <t>arrear Special Allowance</t>
        </is>
      </c>
      <c r="XFB32" s="47" t="inlineStr">
        <is>
          <t>arrear Special Allowance</t>
        </is>
      </c>
    </row>
    <row r="33" ht="14.25" customHeight="1" s="103">
      <c r="C33" s="127" t="n"/>
      <c r="D33" s="127" t="n"/>
      <c r="E33" s="127" t="n"/>
      <c r="F33" s="136" t="n"/>
      <c r="G33" s="136" t="n"/>
      <c r="H33" s="136" t="n"/>
      <c r="I33" s="136" t="n"/>
      <c r="J33" s="136" t="n"/>
      <c r="K33" s="136" t="n"/>
      <c r="M33" s="45">
        <f>SUMPRODUCT(M40:X40,M43:X43)</f>
        <v/>
      </c>
      <c r="N33" s="45">
        <f>SUMPRODUCT(M42:X42,M43:X43)</f>
        <v/>
      </c>
      <c r="O33" s="26" t="n"/>
      <c r="XFA33" s="107" t="n"/>
      <c r="XFB33" s="107" t="n"/>
    </row>
    <row r="34" ht="12.75" customHeight="1" s="103">
      <c r="C34" s="116" t="inlineStr">
        <is>
          <t xml:space="preserve">
*This is computer generated statement, does not require signature.</t>
        </is>
      </c>
      <c r="D34" s="107" t="n"/>
      <c r="E34" s="107" t="n"/>
      <c r="F34" s="107" t="n"/>
      <c r="G34" s="107" t="n"/>
      <c r="H34" s="107" t="n"/>
      <c r="I34" s="107" t="n"/>
      <c r="J34" s="107" t="n"/>
      <c r="K34" s="107" t="n"/>
      <c r="M34" s="45">
        <f>SUMPRODUCT(M41:X41,M43:X43)</f>
        <v/>
      </c>
      <c r="N34" s="45">
        <f>M33+M34+N33</f>
        <v/>
      </c>
      <c r="O34" s="26" t="n"/>
    </row>
    <row r="35" ht="20.25" customHeight="1" s="103">
      <c r="L35" t="inlineStr">
        <is>
          <t>PF full month</t>
        </is>
      </c>
      <c r="M35">
        <f>IFERROR(INDEX('Salary sheet'!$H$3:$H$500,M6-2),0)</f>
        <v/>
      </c>
    </row>
    <row r="36" ht="30.75" customHeight="1" s="103">
      <c r="L36" t="inlineStr">
        <is>
          <t>PF this month</t>
        </is>
      </c>
      <c r="M36">
        <f>IF(OR(NOT(M20),M10&lt;=0,M9=0),0,IFERROR(ROUND(M35/M9*M10,0),0))</f>
        <v/>
      </c>
    </row>
    <row r="37">
      <c r="L37" t="inlineStr">
        <is>
          <t>IT this month</t>
        </is>
      </c>
      <c r="M37">
        <f>IF(OR(NOT(M20),M10&lt;=0),0,IFERROR(INDEX('Income Tax'!$F$2:$Q$500,MATCH(M3,'Income Tax'!$A$2:$A$500,0),M5),0))</f>
        <v/>
      </c>
    </row>
    <row r="38">
      <c r="L38" t="inlineStr">
        <is>
          <t>PF YTD</t>
        </is>
      </c>
      <c r="M38">
        <f>SUMPRODUCT(M44:X44,M43:X43)</f>
        <v/>
      </c>
    </row>
    <row r="39">
      <c r="L39" t="inlineStr">
        <is>
          <t>IT YTD</t>
        </is>
      </c>
      <c r="M39">
        <f>SUMPRODUCT(M45:X45,M43:X43)</f>
        <v/>
      </c>
    </row>
    <row r="40">
      <c r="M40" s="29">
        <f>IF(ISNUMBER(INDEX('Salary sheet'!$L$3:$L$500,$M$6-2)),ROUND($M12/DAY('Salary sheet'!L$2)*INDEX('Salary sheet'!$L$3:$L$500,$M$6-2),0),0)</f>
        <v/>
      </c>
      <c r="N40" s="29">
        <f>IF(ISNUMBER(INDEX('Salary sheet'!$M$3:$M$500,$M$6-2)),ROUND($M12/DAY('Salary sheet'!M$2)*INDEX('Salary sheet'!$M$3:$M$500,$M$6-2),0),0)</f>
        <v/>
      </c>
      <c r="O40" s="29">
        <f>IF(ISNUMBER(INDEX('Salary sheet'!$N$3:$N$500,$M$6-2)),ROUND($M12/DAY('Salary sheet'!N$2)*INDEX('Salary sheet'!$N$3:$N$500,$M$6-2),0),0)</f>
        <v/>
      </c>
      <c r="P40" s="29">
        <f>IF(ISNUMBER(INDEX('Salary sheet'!$O$3:$O$500,$M$6-2)),ROUND($M12/DAY('Salary sheet'!O$2)*INDEX('Salary sheet'!$O$3:$O$500,$M$6-2),0),0)</f>
        <v/>
      </c>
      <c r="Q40" s="29">
        <f>IF(ISNUMBER(INDEX('Salary sheet'!$P$3:$P$500,$M$6-2)),ROUND($M12/DAY('Salary sheet'!P$2)*INDEX('Salary sheet'!$P$3:$P$500,$M$6-2),0),0)</f>
        <v/>
      </c>
      <c r="R40" s="29">
        <f>IF(ISNUMBER(INDEX('Salary sheet'!$Q$3:$Q$500,$M$6-2)),ROUND($M12/DAY('Salary sheet'!Q$2)*INDEX('Salary sheet'!$Q$3:$Q$500,$M$6-2),0),0)</f>
        <v/>
      </c>
      <c r="S40" s="29">
        <f>IF(ISNUMBER(INDEX('Salary sheet'!$R$3:$R$500,$M$6-2)),ROUND($M12/DAY('Salary sheet'!R$2)*INDEX('Salary sheet'!$R$3:$R$500,$M$6-2),0),0)</f>
        <v/>
      </c>
      <c r="T40" s="29">
        <f>IF(ISNUMBER(INDEX('Salary sheet'!$S$3:$S$500,$M$6-2)),ROUND($M12/DAY('Salary sheet'!S$2)*INDEX('Salary sheet'!$S$3:$S$500,$M$6-2),0),0)</f>
        <v/>
      </c>
      <c r="U40" s="29">
        <f>IF(ISNUMBER(INDEX('Salary sheet'!$T$3:$T$500,$M$6-2)),ROUND($M12/DAY('Salary sheet'!T$2)*INDEX('Salary sheet'!$T$3:$T$500,$M$6-2),0),0)</f>
        <v/>
      </c>
      <c r="V40" s="29">
        <f>IF(ISNUMBER(INDEX('Salary sheet'!$U$3:$U$500,$M$6-2)),ROUND($M12/DAY('Salary sheet'!U$2)*INDEX('Salary sheet'!$U$3:$U$500,$M$6-2),0),0)</f>
        <v/>
      </c>
      <c r="W40" s="29">
        <f>IF(ISNUMBER(INDEX('Salary sheet'!$V$3:$V$500,$M$6-2)),ROUND($M12/DAY('Salary sheet'!V$2)*INDEX('Salary sheet'!$V$3:$V$500,$M$6-2),0),0)</f>
        <v/>
      </c>
      <c r="X40" s="29">
        <f>IF(ISNUMBER(INDEX('Salary sheet'!$W$3:$W$500,$M$6-2)),ROUND($M12/DAY('Salary sheet'!W$2)*INDEX('Salary sheet'!$W$3:$W$500,$M$6-2),0),0)</f>
        <v/>
      </c>
    </row>
    <row r="41">
      <c r="M41" s="29">
        <f>IF(ISNUMBER(INDEX('Salary sheet'!$L$3:$L$500,$M$6-2)),ROUND($M13/DAY('Salary sheet'!L$2)*INDEX('Salary sheet'!$L$3:$L$500,$M$6-2),0),0)</f>
        <v/>
      </c>
      <c r="N41" s="29">
        <f>IF(ISNUMBER(INDEX('Salary sheet'!$M$3:$M$500,$M$6-2)),ROUND($M13/DAY('Salary sheet'!M$2)*INDEX('Salary sheet'!$M$3:$M$500,$M$6-2),0),0)</f>
        <v/>
      </c>
      <c r="O41" s="29">
        <f>IF(ISNUMBER(INDEX('Salary sheet'!$N$3:$N$500,$M$6-2)),ROUND($M13/DAY('Salary sheet'!N$2)*INDEX('Salary sheet'!$N$3:$N$500,$M$6-2),0),0)</f>
        <v/>
      </c>
      <c r="P41" s="29">
        <f>IF(ISNUMBER(INDEX('Salary sheet'!$O$3:$O$500,$M$6-2)),ROUND($M13/DAY('Salary sheet'!O$2)*INDEX('Salary sheet'!$O$3:$O$500,$M$6-2),0),0)</f>
        <v/>
      </c>
      <c r="Q41" s="29">
        <f>IF(ISNUMBER(INDEX('Salary sheet'!$P$3:$P$500,$M$6-2)),ROUND($M13/DAY('Salary sheet'!P$2)*INDEX('Salary sheet'!$P$3:$P$500,$M$6-2),0),0)</f>
        <v/>
      </c>
      <c r="R41" s="29">
        <f>IF(ISNUMBER(INDEX('Salary sheet'!$Q$3:$Q$500,$M$6-2)),ROUND($M13/DAY('Salary sheet'!Q$2)*INDEX('Salary sheet'!$Q$3:$Q$500,$M$6-2),0),0)</f>
        <v/>
      </c>
      <c r="S41" s="29">
        <f>IF(ISNUMBER(INDEX('Salary sheet'!$R$3:$R$500,$M$6-2)),ROUND($M13/DAY('Salary sheet'!R$2)*INDEX('Salary sheet'!$R$3:$R$500,$M$6-2),0),0)</f>
        <v/>
      </c>
      <c r="T41" s="29">
        <f>IF(ISNUMBER(INDEX('Salary sheet'!$S$3:$S$500,$M$6-2)),ROUND($M13/DAY('Salary sheet'!S$2)*INDEX('Salary sheet'!$S$3:$S$500,$M$6-2),0),0)</f>
        <v/>
      </c>
      <c r="U41" s="29">
        <f>IF(ISNUMBER(INDEX('Salary sheet'!$T$3:$T$500,$M$6-2)),ROUND($M13/DAY('Salary sheet'!T$2)*INDEX('Salary sheet'!$T$3:$T$500,$M$6-2),0),0)</f>
        <v/>
      </c>
      <c r="V41" s="29">
        <f>IF(ISNUMBER(INDEX('Salary sheet'!$U$3:$U$500,$M$6-2)),ROUND($M13/DAY('Salary sheet'!U$2)*INDEX('Salary sheet'!$U$3:$U$500,$M$6-2),0),0)</f>
        <v/>
      </c>
      <c r="W41" s="29">
        <f>IF(ISNUMBER(INDEX('Salary sheet'!$V$3:$V$500,$M$6-2)),ROUND($M13/DAY('Salary sheet'!V$2)*INDEX('Salary sheet'!$V$3:$V$500,$M$6-2),0),0)</f>
        <v/>
      </c>
      <c r="X41" s="29">
        <f>IF(ISNUMBER(INDEX('Salary sheet'!$W$3:$W$500,$M$6-2)),ROUND($M13/DAY('Salary sheet'!W$2)*INDEX('Salary sheet'!$W$3:$W$500,$M$6-2),0),0)</f>
        <v/>
      </c>
    </row>
    <row r="42">
      <c r="M42" s="29">
        <f>IF(ISNUMBER(INDEX('Salary sheet'!$L$3:$L$500,$M$6-2)),ROUND($M14/DAY('Salary sheet'!L$2)*INDEX('Salary sheet'!$L$3:$L$500,$M$6-2),0),0)</f>
        <v/>
      </c>
      <c r="N42" s="29">
        <f>IF(ISNUMBER(INDEX('Salary sheet'!$M$3:$M$500,$M$6-2)),ROUND($M14/DAY('Salary sheet'!M$2)*INDEX('Salary sheet'!$M$3:$M$500,$M$6-2),0),0)</f>
        <v/>
      </c>
      <c r="O42" s="29">
        <f>IF(ISNUMBER(INDEX('Salary sheet'!$N$3:$N$500,$M$6-2)),ROUND($M14/DAY('Salary sheet'!N$2)*INDEX('Salary sheet'!$N$3:$N$500,$M$6-2),0),0)</f>
        <v/>
      </c>
      <c r="P42" s="29">
        <f>IF(ISNUMBER(INDEX('Salary sheet'!$O$3:$O$500,$M$6-2)),ROUND($M14/DAY('Salary sheet'!O$2)*INDEX('Salary sheet'!$O$3:$O$500,$M$6-2),0),0)</f>
        <v/>
      </c>
      <c r="Q42" s="29">
        <f>IF(ISNUMBER(INDEX('Salary sheet'!$P$3:$P$500,$M$6-2)),ROUND($M14/DAY('Salary sheet'!P$2)*INDEX('Salary sheet'!$P$3:$P$500,$M$6-2),0),0)</f>
        <v/>
      </c>
      <c r="R42" s="29">
        <f>IF(ISNUMBER(INDEX('Salary sheet'!$Q$3:$Q$500,$M$6-2)),ROUND($M14/DAY('Salary sheet'!Q$2)*INDEX('Salary sheet'!$Q$3:$Q$500,$M$6-2),0),0)</f>
        <v/>
      </c>
      <c r="S42" s="29">
        <f>IF(ISNUMBER(INDEX('Salary sheet'!$R$3:$R$500,$M$6-2)),ROUND($M14/DAY('Salary sheet'!R$2)*INDEX('Salary sheet'!$R$3:$R$500,$M$6-2),0),0)</f>
        <v/>
      </c>
      <c r="T42" s="29">
        <f>IF(ISNUMBER(INDEX('Salary sheet'!$S$3:$S$500,$M$6-2)),ROUND($M14/DAY('Salary sheet'!S$2)*INDEX('Salary sheet'!$S$3:$S$500,$M$6-2),0),0)</f>
        <v/>
      </c>
      <c r="U42" s="29">
        <f>IF(ISNUMBER(INDEX('Salary sheet'!$T$3:$T$500,$M$6-2)),ROUND($M14/DAY('Salary sheet'!T$2)*INDEX('Salary sheet'!$T$3:$T$500,$M$6-2),0),0)</f>
        <v/>
      </c>
      <c r="V42" s="29">
        <f>IF(ISNUMBER(INDEX('Salary sheet'!$U$3:$U$500,$M$6-2)),ROUND($M14/DAY('Salary sheet'!U$2)*INDEX('Salary sheet'!$U$3:$U$500,$M$6-2),0),0)</f>
        <v/>
      </c>
      <c r="W42" s="29">
        <f>IF(ISNUMBER(INDEX('Salary sheet'!$V$3:$V$500,$M$6-2)),ROUND($M14/DAY('Salary sheet'!V$2)*INDEX('Salary sheet'!$V$3:$V$500,$M$6-2),0),0)</f>
        <v/>
      </c>
      <c r="X42" s="29">
        <f>IF(ISNUMBER(INDEX('Salary sheet'!$W$3:$W$500,$M$6-2)),ROUND($M14/DAY('Salary sheet'!W$2)*INDEX('Salary sheet'!$W$3:$W$500,$M$6-2),0),0)</f>
        <v/>
      </c>
    </row>
    <row r="43">
      <c r="M43" s="29">
        <f>IF(COLUMN('Salary sheet'!L$2)-COLUMN('Salary sheet'!$L$2)+1&lt;=$M$5,1,0)</f>
        <v/>
      </c>
      <c r="N43" s="29">
        <f>IF(COLUMN('Salary sheet'!M$2)-COLUMN('Salary sheet'!$L$2)+1&lt;=$M$5,1,0)</f>
        <v/>
      </c>
      <c r="O43" s="29">
        <f>IF(COLUMN('Salary sheet'!N$2)-COLUMN('Salary sheet'!$L$2)+1&lt;=$M$5,1,0)</f>
        <v/>
      </c>
      <c r="P43" s="29">
        <f>IF(COLUMN('Salary sheet'!O$2)-COLUMN('Salary sheet'!$L$2)+1&lt;=$M$5,1,0)</f>
        <v/>
      </c>
      <c r="Q43" s="29">
        <f>IF(COLUMN('Salary sheet'!P$2)-COLUMN('Salary sheet'!$L$2)+1&lt;=$M$5,1,0)</f>
        <v/>
      </c>
      <c r="R43" s="29">
        <f>IF(COLUMN('Salary sheet'!Q$2)-COLUMN('Salary sheet'!$L$2)+1&lt;=$M$5,1,0)</f>
        <v/>
      </c>
      <c r="S43" s="29">
        <f>IF(COLUMN('Salary sheet'!R$2)-COLUMN('Salary sheet'!$L$2)+1&lt;=$M$5,1,0)</f>
        <v/>
      </c>
      <c r="T43" s="29">
        <f>IF(COLUMN('Salary sheet'!S$2)-COLUMN('Salary sheet'!$L$2)+1&lt;=$M$5,1,0)</f>
        <v/>
      </c>
      <c r="U43" s="29">
        <f>IF(COLUMN('Salary sheet'!T$2)-COLUMN('Salary sheet'!$L$2)+1&lt;=$M$5,1,0)</f>
        <v/>
      </c>
      <c r="V43" s="29">
        <f>IF(COLUMN('Salary sheet'!U$2)-COLUMN('Salary sheet'!$L$2)+1&lt;=$M$5,1,0)</f>
        <v/>
      </c>
      <c r="W43" s="29">
        <f>IF(COLUMN('Salary sheet'!V$2)-COLUMN('Salary sheet'!$L$2)+1&lt;=$M$5,1,0)</f>
        <v/>
      </c>
      <c r="X43" s="29">
        <f>IF(COLUMN('Salary sheet'!W$2)-COLUMN('Salary sheet'!$L$2)+1&lt;=$M$5,1,0)</f>
        <v/>
      </c>
    </row>
    <row r="44">
      <c r="M44">
        <f>IF(AND(ISNUMBER(INDEX('Salary sheet'!$L$3:$L$500,$M$6-2)),INDEX('Salary sheet'!$L$3:$L$500,$M$6-2)&gt;0),IFERROR(ROUND($M35/DAY('Salary sheet'!L$2)*INDEX('Salary sheet'!$L$3:$L$500,$M$6-2),0),0),0)</f>
        <v/>
      </c>
      <c r="N44">
        <f>IF(AND(ISNUMBER(INDEX('Salary sheet'!$M$3:$M$500,$M$6-2)),INDEX('Salary sheet'!$M$3:$M$500,$M$6-2)&gt;0),IFERROR(ROUND($M35/DAY('Salary sheet'!M$2)*INDEX('Salary sheet'!$M$3:$M$500,$M$6-2),0),0),0)</f>
        <v/>
      </c>
      <c r="O44">
        <f>IF(AND(ISNUMBER(INDEX('Salary sheet'!$N$3:$N$500,$M$6-2)),INDEX('Salary sheet'!$N$3:$N$500,$M$6-2)&gt;0),IFERROR(ROUND($M35/DAY('Salary sheet'!N$2)*INDEX('Salary sheet'!$N$3:$N$500,$M$6-2),0),0),0)</f>
        <v/>
      </c>
      <c r="P44">
        <f>IF(AND(ISNUMBER(INDEX('Salary sheet'!$O$3:$O$500,$M$6-2)),INDEX('Salary sheet'!$O$3:$O$500,$M$6-2)&gt;0),IFERROR(ROUND($M35/DAY('Salary sheet'!O$2)*INDEX('Salary sheet'!$O$3:$O$500,$M$6-2),0),0),0)</f>
        <v/>
      </c>
      <c r="Q44">
        <f>IF(AND(ISNUMBER(INDEX('Salary sheet'!$P$3:$P$500,$M$6-2)),INDEX('Salary sheet'!$P$3:$P$500,$M$6-2)&gt;0),IFERROR(ROUND($M35/DAY('Salary sheet'!P$2)*INDEX('Salary sheet'!$P$3:$P$500,$M$6-2),0),0),0)</f>
        <v/>
      </c>
      <c r="R44">
        <f>IF(AND(ISNUMBER(INDEX('Salary sheet'!$Q$3:$Q$500,$M$6-2)),INDEX('Salary sheet'!$Q$3:$Q$500,$M$6-2)&gt;0),IFERROR(ROUND($M35/DAY('Salary sheet'!Q$2)*INDEX('Salary sheet'!$Q$3:$Q$500,$M$6-2),0),0),0)</f>
        <v/>
      </c>
      <c r="S44">
        <f>IF(AND(ISNUMBER(INDEX('Salary sheet'!$R$3:$R$500,$M$6-2)),INDEX('Salary sheet'!$R$3:$R$500,$M$6-2)&gt;0),IFERROR(ROUND($M35/DAY('Salary sheet'!R$2)*INDEX('Salary sheet'!$R$3:$R$500,$M$6-2),0),0),0)</f>
        <v/>
      </c>
      <c r="T44">
        <f>IF(AND(ISNUMBER(INDEX('Salary sheet'!$S$3:$S$500,$M$6-2)),INDEX('Salary sheet'!$S$3:$S$500,$M$6-2)&gt;0),IFERROR(ROUND($M35/DAY('Salary sheet'!S$2)*INDEX('Salary sheet'!$S$3:$S$500,$M$6-2),0),0),0)</f>
        <v/>
      </c>
      <c r="U44">
        <f>IF(AND(ISNUMBER(INDEX('Salary sheet'!$T$3:$T$500,$M$6-2)),INDEX('Salary sheet'!$T$3:$T$500,$M$6-2)&gt;0),IFERROR(ROUND($M35/DAY('Salary sheet'!T$2)*INDEX('Salary sheet'!$T$3:$T$500,$M$6-2),0),0),0)</f>
        <v/>
      </c>
      <c r="V44">
        <f>IF(AND(ISNUMBER(INDEX('Salary sheet'!$U$3:$U$500,$M$6-2)),INDEX('Salary sheet'!$U$3:$U$500,$M$6-2)&gt;0),IFERROR(ROUND($M35/DAY('Salary sheet'!U$2)*INDEX('Salary sheet'!$U$3:$U$500,$M$6-2),0),0),0)</f>
        <v/>
      </c>
      <c r="W44">
        <f>IF(AND(ISNUMBER(INDEX('Salary sheet'!$V$3:$V$500,$M$6-2)),INDEX('Salary sheet'!$V$3:$V$500,$M$6-2)&gt;0),IFERROR(ROUND($M35/DAY('Salary sheet'!V$2)*INDEX('Salary sheet'!$V$3:$V$500,$M$6-2),0),0),0)</f>
        <v/>
      </c>
      <c r="X44">
        <f>IF(AND(ISNUMBER(INDEX('Salary sheet'!$W$3:$W$500,$M$6-2)),INDEX('Salary sheet'!$W$3:$W$500,$M$6-2)&gt;0),IFERROR(ROUND($M35/DAY('Salary sheet'!W$2)*INDEX('Salary sheet'!$W$3:$W$500,$M$6-2),0),0),0)</f>
        <v/>
      </c>
    </row>
    <row r="45">
      <c r="M45">
        <f>IF(AND(ISNUMBER(INDEX('Salary sheet'!$L$3:$L$500,$M$6-2)),INDEX('Salary sheet'!$L$3:$L$500,$M$6-2)&gt;0),IFERROR(INDEX('Income Tax'!$F$2:$F$500,MATCH($M$3,'Income Tax'!$A$2:$A$500,0)),0),0)</f>
        <v/>
      </c>
      <c r="N45">
        <f>IF(AND(ISNUMBER(INDEX('Salary sheet'!$M$3:$M$500,$M$6-2)),INDEX('Salary sheet'!$M$3:$M$500,$M$6-2)&gt;0),IFERROR(INDEX('Income Tax'!$G$2:$G$500,MATCH($M$3,'Income Tax'!$A$2:$A$500,0)),0),0)</f>
        <v/>
      </c>
      <c r="O45">
        <f>IF(AND(ISNUMBER(INDEX('Salary sheet'!$N$3:$N$500,$M$6-2)),INDEX('Salary sheet'!$N$3:$N$500,$M$6-2)&gt;0),IFERROR(INDEX('Income Tax'!$H$2:$H$500,MATCH($M$3,'Income Tax'!$A$2:$A$500,0)),0),0)</f>
        <v/>
      </c>
      <c r="P45">
        <f>IF(AND(ISNUMBER(INDEX('Salary sheet'!$O$3:$O$500,$M$6-2)),INDEX('Salary sheet'!$O$3:$O$500,$M$6-2)&gt;0),IFERROR(INDEX('Income Tax'!$I$2:$I$500,MATCH($M$3,'Income Tax'!$A$2:$A$500,0)),0),0)</f>
        <v/>
      </c>
      <c r="Q45">
        <f>IF(AND(ISNUMBER(INDEX('Salary sheet'!$P$3:$P$500,$M$6-2)),INDEX('Salary sheet'!$P$3:$P$500,$M$6-2)&gt;0),IFERROR(INDEX('Income Tax'!$J$2:$J$500,MATCH($M$3,'Income Tax'!$A$2:$A$500,0)),0),0)</f>
        <v/>
      </c>
      <c r="R45">
        <f>IF(AND(ISNUMBER(INDEX('Salary sheet'!$Q$3:$Q$500,$M$6-2)),INDEX('Salary sheet'!$Q$3:$Q$500,$M$6-2)&gt;0),IFERROR(INDEX('Income Tax'!$K$2:$K$500,MATCH($M$3,'Income Tax'!$A$2:$A$500,0)),0),0)</f>
        <v/>
      </c>
      <c r="S45">
        <f>IF(AND(ISNUMBER(INDEX('Salary sheet'!$R$3:$R$500,$M$6-2)),INDEX('Salary sheet'!$R$3:$R$500,$M$6-2)&gt;0),IFERROR(INDEX('Income Tax'!$L$2:$L$500,MATCH($M$3,'Income Tax'!$A$2:$A$500,0)),0),0)</f>
        <v/>
      </c>
      <c r="T45">
        <f>IF(AND(ISNUMBER(INDEX('Salary sheet'!$S$3:$S$500,$M$6-2)),INDEX('Salary sheet'!$S$3:$S$500,$M$6-2)&gt;0),IFERROR(INDEX('Income Tax'!$M$2:$M$500,MATCH($M$3,'Income Tax'!$A$2:$A$500,0)),0),0)</f>
        <v/>
      </c>
      <c r="U45">
        <f>IF(AND(ISNUMBER(INDEX('Salary sheet'!$T$3:$T$500,$M$6-2)),INDEX('Salary sheet'!$T$3:$T$500,$M$6-2)&gt;0),IFERROR(INDEX('Income Tax'!$N$2:$N$500,MATCH($M$3,'Income Tax'!$A$2:$A$500,0)),0),0)</f>
        <v/>
      </c>
      <c r="V45">
        <f>IF(AND(ISNUMBER(INDEX('Salary sheet'!$U$3:$U$500,$M$6-2)),INDEX('Salary sheet'!$U$3:$U$500,$M$6-2)&gt;0),IFERROR(INDEX('Income Tax'!$O$2:$O$500,MATCH($M$3,'Income Tax'!$A$2:$A$500,0)),0),0)</f>
        <v/>
      </c>
      <c r="W45">
        <f>IF(AND(ISNUMBER(INDEX('Salary sheet'!$V$3:$V$500,$M$6-2)),INDEX('Salary sheet'!$V$3:$V$500,$M$6-2)&gt;0),IFERROR(INDEX('Income Tax'!$P$2:$P$500,MATCH($M$3,'Income Tax'!$A$2:$A$500,0)),0),0)</f>
        <v/>
      </c>
      <c r="X45">
        <f>IF(AND(ISNUMBER(INDEX('Salary sheet'!$W$3:$W$500,$M$6-2)),INDEX('Salary sheet'!$W$3:$W$500,$M$6-2)&gt;0),IFERROR(INDEX('Income Tax'!$Q$2:$Q$500,MATCH($M$3,'Income Tax'!$A$2:$A$500,0)),0),0)</f>
        <v/>
      </c>
    </row>
    <row r="46">
      <c r="L46" t="inlineStr">
        <is>
          <t>Generate slip?</t>
        </is>
      </c>
      <c r="M46">
        <f>AND(M20,ISNUMBER(M10),M10&gt;0)</f>
        <v/>
      </c>
    </row>
  </sheetData>
  <mergeCells count="71">
    <mergeCell ref="C16:K16"/>
    <mergeCell ref="G21:H21"/>
    <mergeCell ref="G12:H12"/>
    <mergeCell ref="D13:F13"/>
    <mergeCell ref="C24:D24"/>
    <mergeCell ref="C15:D15"/>
    <mergeCell ref="C31:E31"/>
    <mergeCell ref="F32:K32"/>
    <mergeCell ref="G27:H27"/>
    <mergeCell ref="G23:H23"/>
    <mergeCell ref="I12:K12"/>
    <mergeCell ref="J28:K28"/>
    <mergeCell ref="D7:F7"/>
    <mergeCell ref="E17:F17"/>
    <mergeCell ref="C26:D26"/>
    <mergeCell ref="G17:H17"/>
    <mergeCell ref="C2:K2"/>
    <mergeCell ref="C20:D20"/>
    <mergeCell ref="C29:D29"/>
    <mergeCell ref="C11:K11"/>
    <mergeCell ref="J23:K23"/>
    <mergeCell ref="G7:H7"/>
    <mergeCell ref="G22:H22"/>
    <mergeCell ref="J24:K24"/>
    <mergeCell ref="C25:D25"/>
    <mergeCell ref="G10:H10"/>
    <mergeCell ref="F31:K31"/>
    <mergeCell ref="D12:F12"/>
    <mergeCell ref="D9:F9"/>
    <mergeCell ref="G28:H28"/>
    <mergeCell ref="C22:D22"/>
    <mergeCell ref="G6:H6"/>
    <mergeCell ref="C8:K8"/>
    <mergeCell ref="G13:H13"/>
    <mergeCell ref="G18:H18"/>
    <mergeCell ref="J27:K27"/>
    <mergeCell ref="N1:O1"/>
    <mergeCell ref="J26:K26"/>
    <mergeCell ref="C32:E32"/>
    <mergeCell ref="I10:K10"/>
    <mergeCell ref="J20:K20"/>
    <mergeCell ref="C21:D21"/>
    <mergeCell ref="I13:K13"/>
    <mergeCell ref="C19:K19"/>
    <mergeCell ref="G24:H24"/>
    <mergeCell ref="I9:K9"/>
    <mergeCell ref="J25:K25"/>
    <mergeCell ref="C3:K3"/>
    <mergeCell ref="J22:K22"/>
    <mergeCell ref="C17:D17"/>
    <mergeCell ref="C23:D23"/>
    <mergeCell ref="D4:K4"/>
    <mergeCell ref="C34:K34"/>
    <mergeCell ref="G26:H26"/>
    <mergeCell ref="D10:F10"/>
    <mergeCell ref="I6:K6"/>
    <mergeCell ref="C30:K30"/>
    <mergeCell ref="G20:H20"/>
    <mergeCell ref="J21:K21"/>
    <mergeCell ref="C5:K5"/>
    <mergeCell ref="C14:K14"/>
    <mergeCell ref="G25:H25"/>
    <mergeCell ref="D6:F6"/>
    <mergeCell ref="J18:K18"/>
    <mergeCell ref="C28:D28"/>
    <mergeCell ref="C18:D18"/>
    <mergeCell ref="G9:H9"/>
    <mergeCell ref="E18:F18"/>
    <mergeCell ref="E15:K15"/>
    <mergeCell ref="I7:K7"/>
    <mergeCell ref="J17:K17"/>
  </mergeCells>
  <pageMargins left="0.511805555555556" right="0.511805555555556" top="0.747916666666667" bottom="0.747916666666667" header="0.511811023622047" footer="0.511811023622047"/>
  <pageSetup orientation="portrait" paperSize="9" scale="82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Shrikant Aggarwal</dc:creator>
  <dc:language xmlns:dc="http://purl.org/dc/elements/1.1/">en-US</dc:language>
  <dcterms:created xmlns:dcterms="http://purl.org/dc/terms/" xmlns:xsi="http://www.w3.org/2001/XMLSchema-instance" xsi:type="dcterms:W3CDTF">2026-06-28T18:08:16Z</dcterms:created>
  <dcterms:modified xmlns:dcterms="http://purl.org/dc/terms/" xmlns:xsi="http://www.w3.org/2001/XMLSchema-instance" xsi:type="dcterms:W3CDTF">2026-08-06T07:50:22Z</dcterms:modified>
  <cp:lastModifiedBy>Shrikant Aggarwal</cp:lastModifiedBy>
  <cp:revision>0</cp:revision>
  <cp:lastPrinted>2026-07-11T07:52:13Z</cp:lastPrinted>
</cp:coreProperties>
</file>