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<sst xmlns="http://schemas.openxmlformats.org/spreadsheetml/2006/main" count="774" uniqueCount="407">
  <si>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</si>
  <si>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</si>
  <si>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</si>
  <si>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</si>
  <si>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</si>
  <si>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</si>
  <si>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</si>
  <si>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</si>
  <si>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</si>
  <si>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</si>
  <si>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</si>
  <si>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</si>
  <si>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</si>
  <si>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</si>
  <si>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</si>
  <si>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</si>
  <si>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</si>
  <si>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</si>
  <si>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</si>
  <si>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</si>
  <si>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</si>
  <si>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</si>
  <si>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</si>
  <si>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</si>
  <si>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</si>
  <si>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</si>
  <si>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</si>
  <si>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</si>
  <si>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</si>
  <si>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</si>
  <si>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</si>
  <si>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</si>
  <si>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</si>
  <si>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</si>
  <si>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</si>
  <si>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</si>
  <si>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</si>
  <si>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</si>
  <si>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</si>
  <si>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</si>
  <si>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</si>
  <si>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</si>
  <si>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</si>
  <si>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</si>
  <si>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</si>
  <si>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</si>
  <si>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</si>
  <si>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</si>
  <si>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</si>
  <si>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</si>
  <si>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</si>
  <si>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</si>
  <si>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</si>
  <si>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</si>
  <si>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</si>
  <si>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</si>
  <si>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</si>
  <si>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</si>
  <si>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</si>
  <si>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</si>
  <si>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</si>
  <si>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</si>
  <si>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</si>
  <si>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</si>
  <si>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</si>
  <si>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</si>
  <si>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</si>
  <si>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</si>
  <si>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</si>
  <si>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</si>
  <si>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</si>
  <si>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</si>
  <si>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</si>
  <si>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</si>
  <si>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</si>
  <si>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</si>
  <si>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</si>
  <si>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</si>
  <si>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</si>
  <si>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</si>
  <si>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</si>
  <si>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</si>
  <si>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</si>
  <si>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 xml:space="preserve">Tip: "Generate Current Slip" exports the employee/month above. "Generate All Slips" loops every employee for the selected month and saves one PDF each. Employees with 0 attendance for the month (left the organisation) are skipped. PF and Income Tax are deducted automatically on the Salary Slip.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</si>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</sst>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6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IF(AND(M20,M10&lt;=0),"⚠ Attendance is 0 for "&amp;M4&amp;" (employee left / not payable). Salary slip will not be generated for this month.",IF(M20,"","⚠ No attendance/payroll data has been entered yet for this employee in "&amp;M4&amp;". Showing Rs. 0 until the Salary sheet is updated."))</f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f>IF(M20,M36,0)</f>
      </c>
      <c r="J21" s="115">
        <f>IF(M20,M38,0)</f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f>IF(M20,M37,0)</f>
      </c>
      <c r="J23" s="115">
        <f>IF(M20,M39,0)</f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f>I21+I22+I23</f>
      </c>
      <c r="J24" s="106">
        <f>J21+J22+J23</f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f>I26+I27</f>
      </c>
      <c r="J28" s="137">
        <f>J26+J27</f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E29-I24-I28</f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>
      <c r="L35" t="str">
        <is>
          <t>PF full month</t>
        </is>
      </c>
      <c r="M35">
        <f>IFERROR(INDEX('Salary sheet'!$H$3:$H$500,M6-2),0)</f>
      </c>
    </row>
    <row r="36" spans="3:24 16381:16382" ht="30.75" customHeight="1" x14ac:dyDescent="0.35">
      <c r="L36" t="str">
        <is>
          <t>PF this month</t>
        </is>
      </c>
      <c r="M36">
        <f>IF(OR(NOT(M20),M10&lt;=0,M9=0),0,IFERROR(ROUND(M35/M9*M10,0),0))</f>
      </c>
    </row>
    <row r="37">
      <c r="L37" t="str">
        <is>
          <t>IT this month</t>
        </is>
      </c>
      <c r="M37">
        <f>IF(OR(NOT(M20),M10&lt;=0),0,IFERROR(INDEX('Income Tax'!$F$2:$Q$500,MATCH(M3,'Income Tax'!$A$2:$A$500,0),M5),0))</f>
      </c>
    </row>
    <row r="38">
      <c r="L38" t="str">
        <is>
          <t>PF YTD</t>
        </is>
      </c>
      <c r="M38">
        <f>SUMPRODUCT(M44:X44,M43:X43)</f>
      </c>
    </row>
    <row r="39">
      <c r="L39" t="str">
        <is>
          <t>IT YTD</t>
        </is>
      </c>
      <c r="M39">
        <f>SUMPRODUCT(M45:X45,M43:X43)</f>
      </c>
    </row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  <row r="44">
      <c r="M44">
        <f>IF(AND(ISNUMBER(INDEX('Salary sheet'!$L$3:$L$500,$M$6-2)),INDEX('Salary sheet'!$L$3:$L$500,$M$6-2)&gt;0),IFERROR(ROUND($M35/DAY('Salary sheet'!L$2)*INDEX('Salary sheet'!$L$3:$L$500,$M$6-2),0),0),0)</f>
      </c>
      <c r="N44">
        <f>IF(AND(ISNUMBER(INDEX('Salary sheet'!$M$3:$M$500,$M$6-2)),INDEX('Salary sheet'!$M$3:$M$500,$M$6-2)&gt;0),IFERROR(ROUND($M35/DAY('Salary sheet'!M$2)*INDEX('Salary sheet'!$M$3:$M$500,$M$6-2),0),0),0)</f>
      </c>
      <c r="O44">
        <f>IF(AND(ISNUMBER(INDEX('Salary sheet'!$N$3:$N$500,$M$6-2)),INDEX('Salary sheet'!$N$3:$N$500,$M$6-2)&gt;0),IFERROR(ROUND($M35/DAY('Salary sheet'!N$2)*INDEX('Salary sheet'!$N$3:$N$500,$M$6-2),0),0),0)</f>
      </c>
      <c r="P44">
        <f>IF(AND(ISNUMBER(INDEX('Salary sheet'!$O$3:$O$500,$M$6-2)),INDEX('Salary sheet'!$O$3:$O$500,$M$6-2)&gt;0),IFERROR(ROUND($M35/DAY('Salary sheet'!O$2)*INDEX('Salary sheet'!$O$3:$O$500,$M$6-2),0),0),0)</f>
      </c>
      <c r="Q44">
        <f>IF(AND(ISNUMBER(INDEX('Salary sheet'!$P$3:$P$500,$M$6-2)),INDEX('Salary sheet'!$P$3:$P$500,$M$6-2)&gt;0),IFERROR(ROUND($M35/DAY('Salary sheet'!P$2)*INDEX('Salary sheet'!$P$3:$P$500,$M$6-2),0),0),0)</f>
      </c>
      <c r="R44">
        <f>IF(AND(ISNUMBER(INDEX('Salary sheet'!$Q$3:$Q$500,$M$6-2)),INDEX('Salary sheet'!$Q$3:$Q$500,$M$6-2)&gt;0),IFERROR(ROUND($M35/DAY('Salary sheet'!Q$2)*INDEX('Salary sheet'!$Q$3:$Q$500,$M$6-2),0),0),0)</f>
      </c>
      <c r="S44">
        <f>IF(AND(ISNUMBER(INDEX('Salary sheet'!$R$3:$R$500,$M$6-2)),INDEX('Salary sheet'!$R$3:$R$500,$M$6-2)&gt;0),IFERROR(ROUND($M35/DAY('Salary sheet'!R$2)*INDEX('Salary sheet'!$R$3:$R$500,$M$6-2),0),0),0)</f>
      </c>
      <c r="T44">
        <f>IF(AND(ISNUMBER(INDEX('Salary sheet'!$S$3:$S$500,$M$6-2)),INDEX('Salary sheet'!$S$3:$S$500,$M$6-2)&gt;0),IFERROR(ROUND($M35/DAY('Salary sheet'!S$2)*INDEX('Salary sheet'!$S$3:$S$500,$M$6-2),0),0),0)</f>
      </c>
      <c r="U44">
        <f>IF(AND(ISNUMBER(INDEX('Salary sheet'!$T$3:$T$500,$M$6-2)),INDEX('Salary sheet'!$T$3:$T$500,$M$6-2)&gt;0),IFERROR(ROUND($M35/DAY('Salary sheet'!T$2)*INDEX('Salary sheet'!$T$3:$T$500,$M$6-2),0),0),0)</f>
      </c>
      <c r="V44">
        <f>IF(AND(ISNUMBER(INDEX('Salary sheet'!$U$3:$U$500,$M$6-2)),INDEX('Salary sheet'!$U$3:$U$500,$M$6-2)&gt;0),IFERROR(ROUND($M35/DAY('Salary sheet'!U$2)*INDEX('Salary sheet'!$U$3:$U$500,$M$6-2),0),0),0)</f>
      </c>
      <c r="W44">
        <f>IF(AND(ISNUMBER(INDEX('Salary sheet'!$V$3:$V$500,$M$6-2)),INDEX('Salary sheet'!$V$3:$V$500,$M$6-2)&gt;0),IFERROR(ROUND($M35/DAY('Salary sheet'!V$2)*INDEX('Salary sheet'!$V$3:$V$500,$M$6-2),0),0),0)</f>
      </c>
      <c r="X44">
        <f>IF(AND(ISNUMBER(INDEX('Salary sheet'!$W$3:$W$500,$M$6-2)),INDEX('Salary sheet'!$W$3:$W$500,$M$6-2)&gt;0),IFERROR(ROUND($M35/DAY('Salary sheet'!W$2)*INDEX('Salary sheet'!$W$3:$W$500,$M$6-2),0),0),0)</f>
      </c>
    </row>
    <row r="45">
      <c r="M45">
        <f>IF(AND(ISNUMBER(INDEX('Salary sheet'!$L$3:$L$500,$M$6-2)),INDEX('Salary sheet'!$L$3:$L$500,$M$6-2)&gt;0),IFERROR(INDEX('Income Tax'!$F$2:$F$500,MATCH($M$3,'Income Tax'!$A$2:$A$500,0)),0),0)</f>
      </c>
      <c r="N45">
        <f>IF(AND(ISNUMBER(INDEX('Salary sheet'!$M$3:$M$500,$M$6-2)),INDEX('Salary sheet'!$M$3:$M$500,$M$6-2)&gt;0),IFERROR(INDEX('Income Tax'!$G$2:$G$500,MATCH($M$3,'Income Tax'!$A$2:$A$500,0)),0),0)</f>
      </c>
      <c r="O45">
        <f>IF(AND(ISNUMBER(INDEX('Salary sheet'!$N$3:$N$500,$M$6-2)),INDEX('Salary sheet'!$N$3:$N$500,$M$6-2)&gt;0),IFERROR(INDEX('Income Tax'!$H$2:$H$500,MATCH($M$3,'Income Tax'!$A$2:$A$500,0)),0),0)</f>
      </c>
      <c r="P45">
        <f>IF(AND(ISNUMBER(INDEX('Salary sheet'!$O$3:$O$500,$M$6-2)),INDEX('Salary sheet'!$O$3:$O$500,$M$6-2)&gt;0),IFERROR(INDEX('Income Tax'!$I$2:$I$500,MATCH($M$3,'Income Tax'!$A$2:$A$500,0)),0),0)</f>
      </c>
      <c r="Q45">
        <f>IF(AND(ISNUMBER(INDEX('Salary sheet'!$P$3:$P$500,$M$6-2)),INDEX('Salary sheet'!$P$3:$P$500,$M$6-2)&gt;0),IFERROR(INDEX('Income Tax'!$J$2:$J$500,MATCH($M$3,'Income Tax'!$A$2:$A$500,0)),0),0)</f>
      </c>
      <c r="R45">
        <f>IF(AND(ISNUMBER(INDEX('Salary sheet'!$Q$3:$Q$500,$M$6-2)),INDEX('Salary sheet'!$Q$3:$Q$500,$M$6-2)&gt;0),IFERROR(INDEX('Income Tax'!$K$2:$K$500,MATCH($M$3,'Income Tax'!$A$2:$A$500,0)),0),0)</f>
      </c>
      <c r="S45">
        <f>IF(AND(ISNUMBER(INDEX('Salary sheet'!$R$3:$R$500,$M$6-2)),INDEX('Salary sheet'!$R$3:$R$500,$M$6-2)&gt;0),IFERROR(INDEX('Income Tax'!$L$2:$L$500,MATCH($M$3,'Income Tax'!$A$2:$A$500,0)),0),0)</f>
      </c>
      <c r="T45">
        <f>IF(AND(ISNUMBER(INDEX('Salary sheet'!$S$3:$S$500,$M$6-2)),INDEX('Salary sheet'!$S$3:$S$500,$M$6-2)&gt;0),IFERROR(INDEX('Income Tax'!$M$2:$M$500,MATCH($M$3,'Income Tax'!$A$2:$A$500,0)),0),0)</f>
      </c>
      <c r="U45">
        <f>IF(AND(ISNUMBER(INDEX('Salary sheet'!$T$3:$T$500,$M$6-2)),INDEX('Salary sheet'!$T$3:$T$500,$M$6-2)&gt;0),IFERROR(INDEX('Income Tax'!$N$2:$N$500,MATCH($M$3,'Income Tax'!$A$2:$A$500,0)),0),0)</f>
      </c>
      <c r="V45">
        <f>IF(AND(ISNUMBER(INDEX('Salary sheet'!$U$3:$U$500,$M$6-2)),INDEX('Salary sheet'!$U$3:$U$500,$M$6-2)&gt;0),IFERROR(INDEX('Income Tax'!$O$2:$O$500,MATCH($M$3,'Income Tax'!$A$2:$A$500,0)),0),0)</f>
      </c>
      <c r="W45">
        <f>IF(AND(ISNUMBER(INDEX('Salary sheet'!$V$3:$V$500,$M$6-2)),INDEX('Salary sheet'!$V$3:$V$500,$M$6-2)&gt;0),IFERROR(INDEX('Income Tax'!$P$2:$P$500,MATCH($M$3,'Income Tax'!$A$2:$A$500,0)),0),0)</f>
      </c>
      <c r="X45">
        <f>IF(AND(ISNUMBER(INDEX('Salary sheet'!$W$3:$W$500,$M$6-2)),INDEX('Salary sheet'!$W$3:$W$500,$M$6-2)&gt;0),IFERROR(INDEX('Income Tax'!$Q$2:$Q$500,MATCH($M$3,'Income Tax'!$A$2:$A$500,0)),0),0)</f>
      </c>
    </row>
    <row r="46">
      <c r="L46" t="str">
        <is>
          <t>Generate slip?</t>
        </is>
      </c>
      <c r="M46">
        <f>AND(M20,ISNUMBER(M10),M10&gt;0)</f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